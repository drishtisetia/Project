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3"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rishti.setia\Documents\"/>
    </mc:Choice>
  </mc:AlternateContent>
  <xr:revisionPtr revIDLastSave="0" documentId="13_ncr:1_{546E02D6-B1BA-4B91-BEF9-75983F9C5ED0}" xr6:coauthVersionLast="36" xr6:coauthVersionMax="36" xr10:uidLastSave="{00000000-0000-0000-0000-000000000000}"/>
  <bookViews>
    <workbookView xWindow="0" yWindow="0" windowWidth="19200" windowHeight="3870" tabRatio="775" activeTab="7" xr2:uid="{00000000-000D-0000-FFFF-FFFF00000000}"/>
  </bookViews>
  <sheets>
    <sheet name="Dashboard" sheetId="56" r:id="rId1"/>
    <sheet name="Product Backlog" sheetId="52" r:id="rId2"/>
    <sheet name="Sprint I Backlog" sheetId="57" r:id="rId3"/>
    <sheet name="Product Backlog (2)" sheetId="59" r:id="rId4"/>
    <sheet name="Sprint II Backlog" sheetId="54" r:id="rId5"/>
    <sheet name="Retrospection" sheetId="34" r:id="rId6"/>
    <sheet name="Reference Data" sheetId="55" r:id="rId7"/>
    <sheet name="Stand up Meeting" sheetId="50" r:id="rId8"/>
  </sheets>
  <externalReferences>
    <externalReference r:id="rId9"/>
  </externalReferences>
  <definedNames>
    <definedName name="actual" localSheetId="3">#REF!</definedName>
    <definedName name="actual">#REF!</definedName>
    <definedName name="Build">"1,2,3"</definedName>
    <definedName name="BusinessValue" localSheetId="3">#REF!</definedName>
    <definedName name="BusinessValue">#REF!</definedName>
    <definedName name="Category" localSheetId="3">OFFSET(#REF!,0,0,COUNTA(#REF!),1)</definedName>
    <definedName name="Category">OFFSET(#REF!,0,0,COUNTA(#REF!),1)</definedName>
    <definedName name="Priority" localSheetId="3">#REF!</definedName>
    <definedName name="Priority">#REF!</definedName>
    <definedName name="Recommendation" localSheetId="3">OFFSET(#REF!,0,0,COUNTA(#REF!),1)</definedName>
    <definedName name="Recommendation">OFFSET(#REF!,0,0,COUNTA(#REF!),1)</definedName>
    <definedName name="Risk" localSheetId="3">#REF!</definedName>
    <definedName name="Risk">#REF!</definedName>
    <definedName name="Sprint_Length" localSheetId="3">#REF!</definedName>
    <definedName name="Sprint_Length">#REF!</definedName>
    <definedName name="Sprint_Start" localSheetId="3">#REF!</definedName>
    <definedName name="Sprint_Start">#REF!</definedName>
    <definedName name="Status" localSheetId="3">#REF!</definedName>
    <definedName name="Status">#REF!</definedName>
    <definedName name="Team" localSheetId="3">OFFSET(#REF!,0,0,COUNTA(#REF!),1)</definedName>
    <definedName name="Team">OFFSET(#REF!,0,0,COUNTA(#REF!),1)</definedName>
    <definedName name="Type" localSheetId="3">#REF!</definedName>
    <definedName name="Type">#REF!</definedName>
  </definedNames>
  <calcPr calcId="191029"/>
</workbook>
</file>

<file path=xl/calcChain.xml><?xml version="1.0" encoding="utf-8"?>
<calcChain xmlns="http://schemas.openxmlformats.org/spreadsheetml/2006/main">
  <c r="L3" i="54" l="1"/>
  <c r="K3" i="57" l="1"/>
  <c r="E7" i="55" s="1"/>
  <c r="J3" i="57"/>
  <c r="I3" i="57"/>
  <c r="K3" i="54"/>
  <c r="J3" i="54"/>
  <c r="I3" i="54"/>
  <c r="E16" i="55" l="1"/>
  <c r="D14" i="55"/>
  <c r="H8" i="55" s="1"/>
  <c r="E15" i="55"/>
  <c r="D5" i="55"/>
  <c r="D6" i="55" s="1"/>
  <c r="D7" i="55" s="1"/>
  <c r="E6" i="55"/>
  <c r="E5" i="55" s="1"/>
  <c r="I7" i="55" s="1"/>
  <c r="D15" i="55" l="1"/>
  <c r="D16" i="55" s="1"/>
  <c r="E14" i="55"/>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Author</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 ref="C6" authorId="1" shapeId="0" xr:uid="{00000000-0006-0000-0200-000004000000}">
      <text>
        <r>
          <rPr>
            <sz val="9"/>
            <color indexed="81"/>
            <rFont val="Tahoma"/>
            <family val="2"/>
          </rPr>
          <t xml:space="preserve">This is a one time job and the time estimation for this job should be done by single trainee per group only once. For other User stories this task should have a value '0'.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300-000001000000}">
      <text>
        <r>
          <rPr>
            <sz val="9"/>
            <color indexed="81"/>
            <rFont val="Tahoma"/>
            <family val="2"/>
          </rPr>
          <t>Kindly refrain from providing more than 8 points to user stories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Author</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 ref="L3" authorId="0" shapeId="0" xr:uid="{7EC7B307-C6BE-4663-B114-432A86006390}">
      <text>
        <r>
          <rPr>
            <sz val="9"/>
            <color indexed="81"/>
            <rFont val="Tahoma"/>
            <family val="2"/>
          </rPr>
          <t>Pending effort hours after completion of day 2 work</t>
        </r>
      </text>
    </comment>
    <comment ref="C6" authorId="1" shapeId="0" xr:uid="{00000000-0006-0000-0400-000004000000}">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14" authorId="1" shapeId="0" xr:uid="{4BE16FA2-3928-471F-A1D3-CD5F11E21E07}">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22" authorId="1" shapeId="0" xr:uid="{4BB10DA4-0BFD-4778-88CF-0BB6963FCD66}">
      <text>
        <r>
          <rPr>
            <sz val="9"/>
            <color indexed="81"/>
            <rFont val="Tahoma"/>
            <family val="2"/>
          </rPr>
          <t xml:space="preserve">This is a one time job and the time estimation for this job should be done by single trainee per group only once. For other User stories this task should have a value '0'.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<sst xmlns="http://schemas.openxmlformats.org/spreadsheetml/2006/main" count="351" uniqueCount="153">
  <si>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</si>
  <si>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</si>
  <si>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</si>
  <si>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</si>
  <si>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</si>
  <si>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</si>
  <si>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</si>
  <si>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</si>
  <si>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</si>
  <si>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</si>
  <si>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</si>
  <si>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</si>
  <si>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</si>
  <si>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</si>
  <si>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</si>
  <si>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</si>
  <si>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</si>
  <si>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</si>
  <si>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</si>
  <si>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</si>
  <si>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</si>
  <si>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</si>
  <si>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</si>
  <si>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</si>
  <si>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</si>
  <si>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</si>
  <si>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</si>
  <si>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</si>
  <si>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T2</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</si>
  <si>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</si>
  <si>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</si>
  <si>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</si>
  <si>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</si>
  <si>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</si>
  <si>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</si>
  <si>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</si>
  <si>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</si>
  <si>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</si>
  <si>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</si>
  <si>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</si>
  <si>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</si>
  <si>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</si>
  <si>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</si>
  <si>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</si>
  <si>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</si>
  <si>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</si>
  <si>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</si>
  <si>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</si>
  <si>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</si>
  <si>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</si>
  <si>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</si>
  <si>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</si>
  <si>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</si>
  <si>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</si>
  <si>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SPRINT  2  BACKLOG</t>
  </si>
  <si>
    <t>1.5 days</t>
  </si>
  <si>
    <t>Design of UI (Wire Frame)</t>
  </si>
  <si>
    <t>Configuring Jobs in Jenkins</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</si>
  <si>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</si>
  <si>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</si>
  <si>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</si>
  <si>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</si>
  <si>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</si>
  <si>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</si>
  <si>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</si>
  <si>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US 01</t>
  </si>
  <si>
    <t>MUST HAVE</t>
  </si>
  <si>
    <t>2- In Progress</t>
  </si>
  <si>
    <t xml:space="preserve">As a seller I want to put my products on Deals for today, so that my product sales will increase. </t>
  </si>
  <si>
    <t>US-01</t>
  </si>
  <si>
    <t>Coding</t>
  </si>
  <si>
    <t>US02</t>
  </si>
  <si>
    <t>US03</t>
  </si>
  <si>
    <t>As a seller, I want to remove the product from Deals For Today, so that the customer cannot access the deal anymore.</t>
  </si>
  <si>
    <t>As a seller, I want to view my products which are on Deals For Today, so that I can remove them once the deal is over</t>
  </si>
  <si>
    <t>1105469 1105464 1105465 1105474</t>
  </si>
  <si>
    <t>ALL</t>
  </si>
  <si>
    <t>Coding issues</t>
  </si>
  <si>
    <t>Refered to Lex</t>
  </si>
  <si>
    <t>Modified DTO class</t>
  </si>
  <si>
    <t>Errors in service class</t>
  </si>
  <si>
    <t>Debugging and modification</t>
  </si>
  <si>
    <t>Discussion for the add function</t>
  </si>
  <si>
    <t>Errors in implementing the US02's add function</t>
  </si>
  <si>
    <t>Refered to documentation and Lex</t>
  </si>
  <si>
    <t>US04</t>
  </si>
  <si>
    <t>Unit Test</t>
  </si>
  <si>
    <t>1105465 1105474 1105464 1105469</t>
  </si>
  <si>
    <t>US 02</t>
  </si>
  <si>
    <t>Discussion of Deals class and its respective DTO class</t>
  </si>
  <si>
    <t>Discussion of implementing API,Repository interface and the service with resspect to Deals class</t>
  </si>
  <si>
    <t>Integration</t>
  </si>
  <si>
    <t>3- Completed</t>
  </si>
  <si>
    <t>US 03</t>
  </si>
  <si>
    <t>As a customer, I want to see the deals for today, so that I can purchase the product in more discounted price.</t>
  </si>
  <si>
    <t>US 04</t>
  </si>
  <si>
    <t xml:space="preserve">General </t>
  </si>
  <si>
    <t>Build</t>
  </si>
  <si>
    <t>Modified code for Deals.java</t>
  </si>
  <si>
    <t>Discussed table structure of database</t>
  </si>
  <si>
    <t>Modified code for product.java</t>
  </si>
  <si>
    <t>Discussed how to implement US02</t>
  </si>
  <si>
    <t>Modiified SellerRepository.java</t>
  </si>
  <si>
    <t>Discussion of the files causing errors in the code</t>
  </si>
  <si>
    <t>Discussion of US03</t>
  </si>
  <si>
    <t>Discussion of US01  and where to start from</t>
  </si>
  <si>
    <t>Used postman to run API files</t>
  </si>
  <si>
    <t>Errors in Remove func removed</t>
  </si>
  <si>
    <t>Discussed the error of Foreign key product id</t>
  </si>
  <si>
    <t>Updated add func created earlier</t>
  </si>
  <si>
    <t>Discussed how to implement US03</t>
  </si>
  <si>
    <t>Partial frontend discussed</t>
  </si>
  <si>
    <t>Integration of Final Code</t>
  </si>
  <si>
    <t>Errors in DTO class</t>
  </si>
  <si>
    <t>Conflict of views</t>
  </si>
  <si>
    <t>Refered Lex</t>
  </si>
  <si>
    <t>Missed a value</t>
  </si>
  <si>
    <t>Updated backend code</t>
  </si>
  <si>
    <t>Decided to go for list</t>
  </si>
  <si>
    <t>Postman didn't show correct output</t>
  </si>
  <si>
    <t>Modified API</t>
  </si>
  <si>
    <t>Error in DTO</t>
  </si>
  <si>
    <t>Faced errors in remove func</t>
  </si>
  <si>
    <t>Resolved error in loop by refering lex</t>
  </si>
  <si>
    <t>Validation error</t>
  </si>
  <si>
    <t>Resolved by updating the code</t>
  </si>
  <si>
    <t>Conflict in the SellerDeals frontend</t>
  </si>
  <si>
    <t>Updated the frontend by refering Lex</t>
  </si>
  <si>
    <t>Day 3-Day 4</t>
  </si>
  <si>
    <t>Day 4 - Day 5</t>
  </si>
  <si>
    <t>Day 5 - Day 6</t>
  </si>
  <si>
    <t>1105469 1105464 1105465 1105475</t>
  </si>
  <si>
    <t>1105469 1105464 1105465 1105476</t>
  </si>
  <si>
    <t>1105469 1105464 1105465 1105477</t>
  </si>
  <si>
    <t>1105469 1105464 1105465 1105478</t>
  </si>
  <si>
    <t>1105469 1105464 1105465 1105479</t>
  </si>
  <si>
    <t>1105469 1105464 1105465 1105480</t>
  </si>
  <si>
    <t>1105469 1105464 1105465 1105481</t>
  </si>
  <si>
    <t>FINAL PUSH</t>
  </si>
  <si>
    <t>Final errors resolved &amp; how to create test cases</t>
  </si>
  <si>
    <t>Func for viewing product with deals created</t>
  </si>
  <si>
    <t>New DealsRepository created</t>
  </si>
  <si>
    <t>Created DealsService</t>
  </si>
  <si>
    <t>Created DealsServiceImpl</t>
  </si>
  <si>
    <t>New DealsAPI.java created</t>
  </si>
  <si>
    <t>New DealsDTO.java created</t>
  </si>
  <si>
    <t>Modified SellerProductServiceImpl.java</t>
  </si>
  <si>
    <t>Modified SellerProductService.java</t>
  </si>
  <si>
    <t>Problem in creating</t>
  </si>
  <si>
    <t>Resolved Errors created test cases</t>
  </si>
  <si>
    <t>Implemented frontend</t>
  </si>
  <si>
    <t>Func RemoveDeals created</t>
  </si>
  <si>
    <t xml:space="preserve"> 1105469 1105464 1105465 1105474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</si>
</sst>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3"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11"/>
      <color rgb="FF000000"/>
      <name val="Arial"/>
      <family val="2"/>
    </font>
    <font>
      <sz val="11"/>
      <color rgb="FF006100"/>
      <name val="Calibri"/>
      <family val="2"/>
      <scheme val="minor"/>
    </font>
    <font>
      <sz val="11"/>
      <color theme="6" tint="0.79998168889431442"/>
      <name val="Calibri"/>
      <family val="2"/>
      <scheme val="minor"/>
    </font>
    <font>
      <sz val="11"/>
      <name val="Arial"/>
      <family val="2"/>
    </font>
  </fonts>
  <fills count="12">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C6EFCE"/>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s>
  <cellStyleXfs count="7">
    <xf numFmtId="0" fontId="0" fillId="0" borderId="0"/>
    <xf numFmtId="0" fontId="3" fillId="0" borderId="0"/>
    <xf numFmtId="0" fontId="3" fillId="0" borderId="0"/>
    <xf numFmtId="0" fontId="8" fillId="0" borderId="0"/>
    <xf numFmtId="0" fontId="3" fillId="0" borderId="0"/>
    <xf numFmtId="0" fontId="3" fillId="0" borderId="0"/>
    <xf numFmtId="0" fontId="20" fillId="11" borderId="0" applyNumberFormat="0" applyBorder="0" applyAlignment="0" applyProtection="0"/>
  </cellStyleXfs>
  <cellXfs count="141">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9" xfId="0" applyFont="1" applyFill="1" applyBorder="1" applyAlignment="1">
      <alignment horizontal="center" vertical="center"/>
    </xf>
    <xf numFmtId="164" fontId="10" fillId="2" borderId="19" xfId="0" applyNumberFormat="1" applyFont="1" applyFill="1" applyBorder="1" applyAlignment="1">
      <alignment horizontal="left" vertical="center"/>
    </xf>
    <xf numFmtId="0" fontId="10" fillId="2" borderId="20" xfId="0" applyFont="1" applyFill="1" applyBorder="1" applyAlignment="1">
      <alignment horizontal="left" vertical="center"/>
    </xf>
    <xf numFmtId="0" fontId="10" fillId="2" borderId="21" xfId="0" applyFont="1" applyFill="1" applyBorder="1" applyAlignment="1">
      <alignment vertical="center"/>
    </xf>
    <xf numFmtId="0" fontId="10" fillId="2" borderId="22"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3"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2" xfId="0" applyFont="1" applyFill="1" applyBorder="1" applyAlignment="1" applyProtection="1">
      <alignment horizontal="center" wrapText="1"/>
      <protection locked="0"/>
    </xf>
    <xf numFmtId="14" fontId="3" fillId="0" borderId="1" xfId="0" applyNumberFormat="1" applyFont="1" applyFill="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3" fillId="0" borderId="5" xfId="0" applyFont="1" applyBorder="1" applyAlignment="1" applyProtection="1">
      <alignment vertical="center" wrapText="1"/>
      <protection locked="0"/>
    </xf>
    <xf numFmtId="0" fontId="3" fillId="10" borderId="1" xfId="0" applyFont="1" applyFill="1" applyBorder="1" applyAlignment="1" applyProtection="1">
      <alignment vertical="center" wrapText="1"/>
      <protection locked="0"/>
    </xf>
    <xf numFmtId="0" fontId="3" fillId="0" borderId="1" xfId="0" applyFont="1" applyBorder="1" applyAlignment="1" applyProtection="1">
      <alignment vertical="center" wrapText="1"/>
      <protection locked="0"/>
    </xf>
    <xf numFmtId="0" fontId="3" fillId="0" borderId="1" xfId="0" quotePrefix="1" applyFont="1" applyBorder="1" applyAlignment="1">
      <alignment horizontal="left" vertical="center" wrapText="1"/>
    </xf>
    <xf numFmtId="0" fontId="21" fillId="8" borderId="0" xfId="6" applyFont="1" applyFill="1" applyBorder="1" applyAlignment="1" applyProtection="1">
      <alignment horizontal="center" vertical="center" wrapText="1"/>
      <protection locked="0"/>
    </xf>
    <xf numFmtId="0" fontId="1" fillId="7" borderId="0" xfId="0" applyFont="1" applyFill="1" applyProtection="1">
      <protection locked="0"/>
    </xf>
    <xf numFmtId="0" fontId="22" fillId="0" borderId="1" xfId="0" applyFont="1" applyBorder="1" applyAlignment="1">
      <alignment vertical="center" wrapText="1"/>
    </xf>
    <xf numFmtId="0" fontId="19" fillId="0" borderId="0" xfId="0" applyFont="1" applyAlignment="1">
      <alignment horizontal="left" vertical="center"/>
    </xf>
    <xf numFmtId="0" fontId="19" fillId="0" borderId="0" xfId="0" applyFont="1" applyAlignment="1">
      <alignment vertical="center"/>
    </xf>
    <xf numFmtId="0" fontId="14" fillId="7" borderId="0" xfId="0" applyFont="1" applyFill="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20" xfId="0" applyFont="1" applyFill="1" applyBorder="1" applyAlignment="1">
      <alignment horizontal="center" vertical="center"/>
    </xf>
    <xf numFmtId="0" fontId="10" fillId="2" borderId="21" xfId="0" applyFont="1" applyFill="1" applyBorder="1" applyAlignment="1">
      <alignment horizontal="center" vertical="center"/>
    </xf>
    <xf numFmtId="15" fontId="10" fillId="2" borderId="20" xfId="0" applyNumberFormat="1" applyFont="1" applyFill="1" applyBorder="1" applyAlignment="1">
      <alignment horizontal="center" vertical="center"/>
    </xf>
    <xf numFmtId="15" fontId="10" fillId="2" borderId="22" xfId="0" applyNumberFormat="1" applyFont="1" applyFill="1" applyBorder="1" applyAlignment="1">
      <alignment horizontal="center" vertical="center"/>
    </xf>
    <xf numFmtId="0" fontId="10" fillId="2" borderId="22" xfId="0" applyFont="1" applyFill="1" applyBorder="1" applyAlignment="1">
      <alignment horizontal="center" vertical="center"/>
    </xf>
    <xf numFmtId="164" fontId="10" fillId="2" borderId="19" xfId="0" applyNumberFormat="1" applyFont="1" applyFill="1" applyBorder="1" applyAlignment="1">
      <alignment horizontal="center" vertical="center"/>
    </xf>
    <xf numFmtId="0" fontId="16" fillId="8" borderId="1" xfId="0"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5"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5" xfId="0" applyNumberFormat="1"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0" fontId="13" fillId="9" borderId="25" xfId="0" applyFont="1" applyFill="1" applyBorder="1" applyAlignment="1" applyProtection="1">
      <alignment horizontal="center" vertical="center" wrapText="1"/>
      <protection locked="0"/>
    </xf>
    <xf numFmtId="49" fontId="13" fillId="9" borderId="17" xfId="0" applyNumberFormat="1" applyFont="1" applyFill="1" applyBorder="1" applyAlignment="1" applyProtection="1">
      <alignment horizontal="center" vertical="center" wrapText="1"/>
      <protection locked="0"/>
    </xf>
    <xf numFmtId="49" fontId="13" fillId="9" borderId="26" xfId="0" applyNumberFormat="1"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49" fontId="13" fillId="9" borderId="18" xfId="0" applyNumberFormat="1" applyFont="1" applyFill="1" applyBorder="1" applyAlignment="1" applyProtection="1">
      <alignment horizontal="center" vertical="center" wrapText="1"/>
      <protection locked="0"/>
    </xf>
    <xf numFmtId="0" fontId="13" fillId="9" borderId="15" xfId="0"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3" xfId="0" applyFont="1" applyFill="1" applyBorder="1" applyAlignment="1" applyProtection="1">
      <alignment horizontal="center" vertical="center" wrapText="1"/>
      <protection locked="0"/>
    </xf>
    <xf numFmtId="164" fontId="13" fillId="9" borderId="13" xfId="0" applyNumberFormat="1"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16" fillId="8" borderId="14" xfId="0"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cellXfs>
  <cellStyles count="7">
    <cellStyle name="Good" xfId="6" builtinId="2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22</c:v>
                </c:pt>
                <c:pt idx="1">
                  <c:v>14.67</c:v>
                </c:pt>
                <c:pt idx="2">
                  <c:v>7.34</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22</c:v>
                </c:pt>
                <c:pt idx="1">
                  <c:v>11</c:v>
                </c:pt>
                <c:pt idx="2">
                  <c:v>11</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22</c:v>
                </c:pt>
                <c:pt idx="1">
                  <c:v>39</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22</c:v>
                </c:pt>
                <c:pt idx="1">
                  <c:v>26</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39</c:v>
                </c:pt>
                <c:pt idx="1">
                  <c:v>26</c:v>
                </c:pt>
                <c:pt idx="2">
                  <c:v>13</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26</c:v>
                </c:pt>
                <c:pt idx="1">
                  <c:v>13</c:v>
                </c:pt>
                <c:pt idx="2">
                  <c:v>13</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D1" workbookViewId="0">
      <selection activeCell="L13" sqref="L13"/>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07" t="s">
        <v>9</v>
      </c>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108"/>
      <c r="AB1" s="108"/>
      <c r="AC1" s="108"/>
      <c r="AD1" s="108"/>
      <c r="AE1" s="108"/>
      <c r="AF1" s="108"/>
      <c r="AG1" s="108"/>
      <c r="AH1" s="108"/>
    </row>
    <row r="3" spans="1:34" ht="19.5" customHeight="1" x14ac:dyDescent="0.2">
      <c r="A3" s="8" t="s">
        <v>11</v>
      </c>
      <c r="B3" s="9"/>
      <c r="C3" s="8"/>
      <c r="D3" s="109" t="s">
        <v>14</v>
      </c>
      <c r="E3" s="110"/>
      <c r="F3" s="8">
        <v>2</v>
      </c>
      <c r="G3" s="8"/>
      <c r="H3" s="8"/>
      <c r="I3" s="8"/>
      <c r="J3" s="109" t="s">
        <v>51</v>
      </c>
      <c r="K3" s="110"/>
      <c r="L3" s="111"/>
      <c r="M3" s="112"/>
      <c r="N3" s="8"/>
      <c r="O3" s="109" t="s">
        <v>13</v>
      </c>
      <c r="P3" s="110"/>
      <c r="Q3" s="110"/>
      <c r="R3" s="110"/>
      <c r="S3" s="113"/>
      <c r="T3" s="10" t="s">
        <v>55</v>
      </c>
      <c r="U3" s="8"/>
      <c r="V3" s="109" t="s">
        <v>52</v>
      </c>
      <c r="W3" s="110"/>
      <c r="X3" s="110"/>
      <c r="Y3" s="110"/>
      <c r="Z3" s="113"/>
      <c r="AA3" s="114"/>
      <c r="AB3" s="114"/>
      <c r="AC3" s="109" t="s">
        <v>12</v>
      </c>
      <c r="AD3" s="113"/>
      <c r="AE3" s="8"/>
      <c r="AF3" s="11"/>
      <c r="AG3" s="11"/>
      <c r="AH3" s="12"/>
    </row>
    <row r="4" spans="1:34" ht="15" customHeight="1" x14ac:dyDescent="0.2"/>
    <row r="5" spans="1:34" ht="21" customHeight="1" x14ac:dyDescent="0.2">
      <c r="A5" s="106" t="s">
        <v>53</v>
      </c>
      <c r="B5" s="106"/>
      <c r="C5" s="106"/>
      <c r="D5" s="106"/>
      <c r="E5" s="106"/>
      <c r="F5" s="106"/>
      <c r="G5" s="106"/>
      <c r="H5" s="106"/>
      <c r="I5" s="106"/>
      <c r="J5" s="106"/>
      <c r="K5" s="106"/>
      <c r="L5" s="106"/>
      <c r="M5" s="106"/>
      <c r="N5" s="106"/>
    </row>
    <row r="6" spans="1:34" ht="12" customHeight="1" x14ac:dyDescent="0.2">
      <c r="A6" s="106"/>
      <c r="B6" s="106"/>
      <c r="C6" s="106"/>
      <c r="D6" s="106"/>
      <c r="E6" s="106"/>
      <c r="F6" s="106"/>
      <c r="G6" s="106"/>
      <c r="H6" s="106"/>
      <c r="I6" s="106"/>
      <c r="J6" s="106"/>
      <c r="K6" s="106"/>
      <c r="L6" s="106"/>
      <c r="M6" s="106"/>
      <c r="N6" s="106"/>
    </row>
    <row r="7" spans="1:34" ht="22.5" customHeight="1" x14ac:dyDescent="0.2"/>
    <row r="9" spans="1:34" x14ac:dyDescent="0.2">
      <c r="L9" s="87"/>
      <c r="M9" s="87"/>
    </row>
    <row r="10" spans="1:34" ht="24" customHeight="1" x14ac:dyDescent="0.2">
      <c r="L10" s="88"/>
      <c r="M10" s="88"/>
    </row>
    <row r="11" spans="1:34" ht="18" customHeight="1" x14ac:dyDescent="0.2">
      <c r="L11" s="89"/>
      <c r="M11" s="89"/>
    </row>
    <row r="13" spans="1:34" x14ac:dyDescent="0.2">
      <c r="B13" s="25"/>
    </row>
    <row r="31" ht="9.75" customHeight="1" x14ac:dyDescent="0.2"/>
    <row r="32" ht="45" customHeight="1" x14ac:dyDescent="0.2"/>
    <row r="33" spans="12:13" ht="27.75" customHeight="1" x14ac:dyDescent="0.2">
      <c r="L33" s="88"/>
      <c r="M33" s="88"/>
    </row>
    <row r="34" spans="12:13" ht="19.5" customHeight="1" x14ac:dyDescent="0.2">
      <c r="L34" s="89"/>
      <c r="M34" s="89"/>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workbookViewId="0">
      <selection activeCell="G2" sqref="G2"/>
    </sheetView>
  </sheetViews>
  <sheetFormatPr defaultRowHeight="12.75" x14ac:dyDescent="0.2"/>
  <cols>
    <col min="2" max="2" width="12.42578125" customWidth="1"/>
    <col min="4" max="4" width="82.85546875" customWidth="1"/>
    <col min="6" max="6" width="11.140625" customWidth="1"/>
    <col min="7" max="7" width="18.5703125" customWidth="1"/>
    <col min="8" max="8" width="20.42578125" customWidth="1"/>
  </cols>
  <sheetData>
    <row r="1" spans="1:8" ht="75.75" customHeight="1" x14ac:dyDescent="0.2">
      <c r="A1" s="30" t="s">
        <v>37</v>
      </c>
      <c r="B1" s="30" t="s">
        <v>38</v>
      </c>
      <c r="C1" s="37" t="s">
        <v>1</v>
      </c>
      <c r="D1" s="37" t="s">
        <v>6</v>
      </c>
      <c r="E1" s="37" t="s">
        <v>15</v>
      </c>
      <c r="F1" s="37" t="s">
        <v>16</v>
      </c>
      <c r="G1" s="37" t="s">
        <v>17</v>
      </c>
      <c r="H1" s="37" t="s">
        <v>0</v>
      </c>
    </row>
    <row r="2" spans="1:8" ht="37.5" customHeight="1" x14ac:dyDescent="0.2">
      <c r="A2" s="5">
        <v>1</v>
      </c>
      <c r="B2" s="5">
        <v>1</v>
      </c>
      <c r="C2" s="32" t="s">
        <v>65</v>
      </c>
      <c r="D2" s="34" t="s">
        <v>68</v>
      </c>
      <c r="E2" s="17" t="s">
        <v>66</v>
      </c>
      <c r="F2" s="17">
        <v>8</v>
      </c>
      <c r="G2" s="96" t="s">
        <v>152</v>
      </c>
      <c r="H2" s="17" t="s">
        <v>92</v>
      </c>
    </row>
    <row r="3" spans="1:8" ht="37.5" customHeight="1" x14ac:dyDescent="0.2">
      <c r="A3" s="5"/>
      <c r="B3" s="5"/>
      <c r="C3" s="32"/>
      <c r="D3" s="34"/>
      <c r="E3" s="17"/>
      <c r="F3" s="17"/>
      <c r="G3" s="17"/>
      <c r="H3" s="17"/>
    </row>
    <row r="4" spans="1:8" ht="33.75" customHeight="1" x14ac:dyDescent="0.2">
      <c r="A4" s="5"/>
      <c r="B4" s="5"/>
      <c r="C4" s="32"/>
      <c r="D4" s="24"/>
      <c r="E4" s="17"/>
      <c r="F4" s="17"/>
      <c r="G4" s="18"/>
      <c r="H4" s="17"/>
    </row>
    <row r="5" spans="1:8" ht="27.75" customHeight="1" x14ac:dyDescent="0.2">
      <c r="A5" s="5"/>
      <c r="B5" s="5"/>
      <c r="C5" s="32"/>
      <c r="D5" s="24"/>
      <c r="E5" s="17"/>
      <c r="F5" s="17"/>
      <c r="G5" s="18"/>
      <c r="H5" s="17"/>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K104"/>
  <sheetViews>
    <sheetView showGridLines="0" zoomScale="85" zoomScaleNormal="85" workbookViewId="0">
      <selection activeCell="H12" sqref="H12"/>
    </sheetView>
  </sheetViews>
  <sheetFormatPr defaultRowHeight="11.25" x14ac:dyDescent="0.2"/>
  <cols>
    <col min="1" max="1" width="10" style="38" customWidth="1"/>
    <col min="2" max="2" width="9.7109375" style="56" customWidth="1"/>
    <col min="3" max="3" width="44.42578125" style="57" customWidth="1"/>
    <col min="4" max="4" width="11.42578125" style="58" customWidth="1"/>
    <col min="5" max="5" width="11.42578125" style="59" customWidth="1"/>
    <col min="6" max="6" width="19.42578125" style="60" customWidth="1"/>
    <col min="7" max="7" width="17" style="38" customWidth="1"/>
    <col min="8" max="8" width="13.28515625" style="61" customWidth="1"/>
    <col min="9" max="9" width="9.28515625" style="61" customWidth="1"/>
    <col min="10" max="10" width="10.85546875" style="61" customWidth="1"/>
    <col min="11" max="11" width="10.28515625" style="38" customWidth="1"/>
    <col min="12" max="16384" width="9.140625" style="38"/>
  </cols>
  <sheetData>
    <row r="1" spans="1:11" ht="18.75" customHeight="1" thickBot="1" x14ac:dyDescent="0.25">
      <c r="A1" s="68" t="s">
        <v>43</v>
      </c>
      <c r="B1" s="69"/>
      <c r="C1" s="69"/>
      <c r="D1" s="69"/>
      <c r="E1" s="69"/>
      <c r="F1" s="69"/>
      <c r="G1" s="69"/>
      <c r="H1" s="69"/>
      <c r="I1" s="69"/>
      <c r="J1" s="69"/>
      <c r="K1" s="69"/>
    </row>
    <row r="2" spans="1:11" s="39" customFormat="1" ht="45.75" customHeight="1" x14ac:dyDescent="0.2">
      <c r="A2" s="125" t="s">
        <v>1</v>
      </c>
      <c r="B2" s="123" t="s">
        <v>3</v>
      </c>
      <c r="C2" s="119" t="s">
        <v>2</v>
      </c>
      <c r="D2" s="119" t="s">
        <v>8</v>
      </c>
      <c r="E2" s="121" t="s">
        <v>7</v>
      </c>
      <c r="F2" s="119" t="s">
        <v>4</v>
      </c>
      <c r="G2" s="119" t="s">
        <v>5</v>
      </c>
      <c r="H2" s="92" t="s">
        <v>0</v>
      </c>
      <c r="I2" s="90" t="s">
        <v>34</v>
      </c>
      <c r="J2" s="91" t="s">
        <v>26</v>
      </c>
      <c r="K2" s="91" t="s">
        <v>64</v>
      </c>
    </row>
    <row r="3" spans="1:11" s="39" customFormat="1" ht="30" customHeight="1" x14ac:dyDescent="0.2">
      <c r="A3" s="126"/>
      <c r="B3" s="124"/>
      <c r="C3" s="120"/>
      <c r="D3" s="120"/>
      <c r="E3" s="122"/>
      <c r="F3" s="120"/>
      <c r="G3" s="120"/>
      <c r="H3" s="93"/>
      <c r="I3" s="70">
        <f>SUM(I5:I800)</f>
        <v>22</v>
      </c>
      <c r="J3" s="70">
        <f>SUM(J5:J800)</f>
        <v>11</v>
      </c>
      <c r="K3" s="70">
        <f>SUM(K5:K800)</f>
        <v>11</v>
      </c>
    </row>
    <row r="4" spans="1:11" s="39" customFormat="1" ht="33.75" customHeight="1" x14ac:dyDescent="0.2">
      <c r="A4" s="115" t="s">
        <v>42</v>
      </c>
      <c r="B4" s="115"/>
      <c r="C4" s="115"/>
      <c r="D4" s="115"/>
      <c r="E4" s="115"/>
      <c r="F4" s="115"/>
      <c r="G4" s="115"/>
      <c r="H4" s="115"/>
      <c r="I4" s="115"/>
      <c r="J4" s="115"/>
      <c r="K4" s="115"/>
    </row>
    <row r="5" spans="1:11" ht="38.25" customHeight="1" x14ac:dyDescent="0.2">
      <c r="A5" s="116" t="s">
        <v>69</v>
      </c>
      <c r="B5" s="40" t="s">
        <v>27</v>
      </c>
      <c r="C5" s="97" t="s">
        <v>56</v>
      </c>
      <c r="D5" s="42">
        <v>44197</v>
      </c>
      <c r="E5" s="42">
        <v>44200</v>
      </c>
      <c r="F5" s="43" t="s">
        <v>75</v>
      </c>
      <c r="G5" s="42" t="s">
        <v>96</v>
      </c>
      <c r="H5" s="44" t="s">
        <v>92</v>
      </c>
      <c r="I5" s="45">
        <v>1</v>
      </c>
      <c r="J5" s="46">
        <v>0.5</v>
      </c>
      <c r="K5" s="46">
        <v>0.5</v>
      </c>
    </row>
    <row r="6" spans="1:11" ht="24.75" hidden="1" customHeight="1" x14ac:dyDescent="0.2">
      <c r="A6" s="117"/>
      <c r="B6" s="47" t="s">
        <v>28</v>
      </c>
      <c r="C6" s="98" t="s">
        <v>57</v>
      </c>
      <c r="D6" s="42">
        <v>44197</v>
      </c>
      <c r="E6" s="42">
        <v>44200</v>
      </c>
      <c r="F6" s="43" t="s">
        <v>131</v>
      </c>
      <c r="G6" s="42" t="s">
        <v>91</v>
      </c>
      <c r="H6" s="44" t="s">
        <v>67</v>
      </c>
      <c r="I6" s="45">
        <v>0</v>
      </c>
      <c r="J6" s="48">
        <v>0</v>
      </c>
      <c r="K6" s="48">
        <v>0</v>
      </c>
    </row>
    <row r="7" spans="1:11" ht="36" customHeight="1" x14ac:dyDescent="0.2">
      <c r="A7" s="117"/>
      <c r="B7" s="40" t="s">
        <v>28</v>
      </c>
      <c r="C7" s="99" t="s">
        <v>58</v>
      </c>
      <c r="D7" s="42">
        <v>44197</v>
      </c>
      <c r="E7" s="42">
        <v>44200</v>
      </c>
      <c r="F7" s="43" t="s">
        <v>132</v>
      </c>
      <c r="G7" s="42" t="s">
        <v>97</v>
      </c>
      <c r="H7" s="44" t="s">
        <v>92</v>
      </c>
      <c r="I7" s="45">
        <v>1</v>
      </c>
      <c r="J7" s="48">
        <v>0.5</v>
      </c>
      <c r="K7" s="48">
        <v>0.5</v>
      </c>
    </row>
    <row r="8" spans="1:11" ht="36.75" customHeight="1" x14ac:dyDescent="0.2">
      <c r="A8" s="117"/>
      <c r="B8" s="47" t="s">
        <v>29</v>
      </c>
      <c r="C8" s="99" t="s">
        <v>59</v>
      </c>
      <c r="D8" s="42">
        <v>44197</v>
      </c>
      <c r="E8" s="42">
        <v>44200</v>
      </c>
      <c r="F8" s="43" t="s">
        <v>133</v>
      </c>
      <c r="G8" s="42" t="s">
        <v>70</v>
      </c>
      <c r="H8" s="44" t="s">
        <v>92</v>
      </c>
      <c r="I8" s="45">
        <v>3</v>
      </c>
      <c r="J8" s="48">
        <v>1.5</v>
      </c>
      <c r="K8" s="48">
        <v>1.5</v>
      </c>
    </row>
    <row r="9" spans="1:11" ht="39.75" customHeight="1" x14ac:dyDescent="0.2">
      <c r="A9" s="117"/>
      <c r="B9" s="40" t="s">
        <v>30</v>
      </c>
      <c r="C9" s="99" t="s">
        <v>60</v>
      </c>
      <c r="D9" s="42">
        <v>44197</v>
      </c>
      <c r="E9" s="42">
        <v>44200</v>
      </c>
      <c r="F9" s="43" t="s">
        <v>134</v>
      </c>
      <c r="G9" s="42" t="s">
        <v>70</v>
      </c>
      <c r="H9" s="44" t="s">
        <v>92</v>
      </c>
      <c r="I9" s="45">
        <v>5</v>
      </c>
      <c r="J9" s="48">
        <v>2.5</v>
      </c>
      <c r="K9" s="48">
        <v>2.5</v>
      </c>
    </row>
    <row r="10" spans="1:11" ht="39.75" customHeight="1" x14ac:dyDescent="0.2">
      <c r="A10" s="117"/>
      <c r="B10" s="47" t="s">
        <v>31</v>
      </c>
      <c r="C10" s="99" t="s">
        <v>61</v>
      </c>
      <c r="D10" s="42">
        <v>44197</v>
      </c>
      <c r="E10" s="42">
        <v>44200</v>
      </c>
      <c r="F10" s="43" t="s">
        <v>135</v>
      </c>
      <c r="G10" s="42" t="s">
        <v>70</v>
      </c>
      <c r="H10" s="44" t="s">
        <v>92</v>
      </c>
      <c r="I10" s="45">
        <v>5</v>
      </c>
      <c r="J10" s="48">
        <v>2.5</v>
      </c>
      <c r="K10" s="48">
        <v>2.5</v>
      </c>
    </row>
    <row r="11" spans="1:11" ht="39.75" customHeight="1" x14ac:dyDescent="0.2">
      <c r="A11" s="117"/>
      <c r="B11" s="40" t="s">
        <v>32</v>
      </c>
      <c r="C11" s="99" t="s">
        <v>62</v>
      </c>
      <c r="D11" s="42">
        <v>44197</v>
      </c>
      <c r="E11" s="42">
        <v>44200</v>
      </c>
      <c r="F11" s="43" t="s">
        <v>136</v>
      </c>
      <c r="G11" s="42" t="s">
        <v>70</v>
      </c>
      <c r="H11" s="44" t="s">
        <v>92</v>
      </c>
      <c r="I11" s="45">
        <v>4</v>
      </c>
      <c r="J11" s="48">
        <v>2</v>
      </c>
      <c r="K11" s="48">
        <v>2</v>
      </c>
    </row>
    <row r="12" spans="1:11" ht="39" customHeight="1" thickBot="1" x14ac:dyDescent="0.25">
      <c r="A12" s="118"/>
      <c r="B12" s="75" t="s">
        <v>33</v>
      </c>
      <c r="C12" s="99" t="s">
        <v>63</v>
      </c>
      <c r="D12" s="77">
        <v>44197</v>
      </c>
      <c r="E12" s="77">
        <v>44200</v>
      </c>
      <c r="F12" s="43" t="s">
        <v>137</v>
      </c>
      <c r="G12" s="77" t="s">
        <v>86</v>
      </c>
      <c r="H12" s="79" t="s">
        <v>92</v>
      </c>
      <c r="I12" s="80">
        <v>3</v>
      </c>
      <c r="J12" s="81">
        <v>1.5</v>
      </c>
      <c r="K12" s="81">
        <v>1.5</v>
      </c>
    </row>
    <row r="13" spans="1:11" ht="29.25" customHeight="1" x14ac:dyDescent="0.2">
      <c r="A13" s="67"/>
      <c r="B13" s="40"/>
      <c r="C13" s="41"/>
      <c r="D13" s="42"/>
      <c r="E13" s="42"/>
      <c r="F13" s="43"/>
      <c r="G13" s="42"/>
      <c r="H13" s="73"/>
      <c r="I13" s="45"/>
      <c r="J13" s="46"/>
      <c r="K13" s="46"/>
    </row>
    <row r="14" spans="1:11" ht="34.5" customHeight="1" x14ac:dyDescent="0.2">
      <c r="A14" s="67"/>
      <c r="B14" s="47"/>
      <c r="C14" s="49"/>
      <c r="D14" s="42"/>
      <c r="E14" s="42"/>
      <c r="F14" s="43"/>
      <c r="G14" s="42"/>
      <c r="H14" s="44"/>
      <c r="I14" s="45"/>
      <c r="J14" s="48"/>
      <c r="K14" s="48"/>
    </row>
    <row r="15" spans="1:11" ht="36.75" customHeight="1" x14ac:dyDescent="0.2">
      <c r="A15" s="67"/>
      <c r="B15" s="47"/>
      <c r="C15" s="49"/>
      <c r="D15" s="42"/>
      <c r="E15" s="42"/>
      <c r="F15" s="43"/>
      <c r="G15" s="42"/>
      <c r="H15" s="44"/>
      <c r="I15" s="45"/>
      <c r="J15" s="48"/>
      <c r="K15" s="48"/>
    </row>
    <row r="16" spans="1:11" ht="34.5" customHeight="1" x14ac:dyDescent="0.2">
      <c r="A16" s="67"/>
      <c r="B16" s="47"/>
      <c r="C16" s="49"/>
      <c r="D16" s="42"/>
      <c r="E16" s="42"/>
      <c r="F16" s="43"/>
      <c r="G16" s="42"/>
      <c r="H16" s="44"/>
      <c r="I16" s="45"/>
      <c r="J16" s="48"/>
      <c r="K16" s="48"/>
    </row>
    <row r="17" spans="1:11" ht="42" customHeight="1" x14ac:dyDescent="0.2">
      <c r="A17" s="67"/>
      <c r="B17" s="47"/>
      <c r="C17" s="49"/>
      <c r="D17" s="42"/>
      <c r="E17" s="42"/>
      <c r="F17" s="43"/>
      <c r="G17" s="42"/>
      <c r="H17" s="44"/>
      <c r="I17" s="45"/>
      <c r="J17" s="48"/>
      <c r="K17" s="48"/>
    </row>
    <row r="18" spans="1:11" ht="39.75" customHeight="1" x14ac:dyDescent="0.2">
      <c r="A18" s="67"/>
      <c r="B18" s="47"/>
      <c r="C18" s="49"/>
      <c r="D18" s="42"/>
      <c r="E18" s="42"/>
      <c r="F18" s="43"/>
      <c r="G18" s="42"/>
      <c r="H18" s="44"/>
      <c r="I18" s="45"/>
      <c r="J18" s="48"/>
      <c r="K18" s="48"/>
    </row>
    <row r="19" spans="1:11" ht="26.25" customHeight="1" thickBot="1" x14ac:dyDescent="0.25">
      <c r="A19" s="74"/>
      <c r="B19" s="75"/>
      <c r="C19" s="76"/>
      <c r="D19" s="77"/>
      <c r="E19" s="77"/>
      <c r="F19" s="78"/>
      <c r="G19" s="77"/>
      <c r="H19" s="79"/>
      <c r="I19" s="80"/>
      <c r="J19" s="81"/>
      <c r="K19" s="81"/>
    </row>
    <row r="20" spans="1:11" ht="23.25" customHeight="1" x14ac:dyDescent="0.2">
      <c r="A20" s="67"/>
      <c r="B20" s="40"/>
      <c r="C20" s="41"/>
      <c r="D20" s="42"/>
      <c r="E20" s="42"/>
      <c r="F20" s="43"/>
      <c r="G20" s="42"/>
      <c r="H20" s="73"/>
      <c r="I20" s="45"/>
      <c r="J20" s="46"/>
      <c r="K20" s="46"/>
    </row>
    <row r="21" spans="1:11" ht="24" customHeight="1" x14ac:dyDescent="0.2">
      <c r="A21" s="67"/>
      <c r="B21" s="47"/>
      <c r="C21" s="49"/>
      <c r="D21" s="42"/>
      <c r="E21" s="42"/>
      <c r="F21" s="43"/>
      <c r="G21" s="42"/>
      <c r="H21" s="44"/>
      <c r="I21" s="45"/>
      <c r="J21" s="48"/>
      <c r="K21" s="48"/>
    </row>
    <row r="22" spans="1:11" ht="24" customHeight="1" x14ac:dyDescent="0.2">
      <c r="A22" s="67"/>
      <c r="B22" s="47"/>
      <c r="C22" s="49"/>
      <c r="D22" s="42"/>
      <c r="E22" s="42"/>
      <c r="F22" s="43"/>
      <c r="G22" s="42"/>
      <c r="H22" s="44"/>
      <c r="I22" s="45"/>
      <c r="J22" s="48"/>
      <c r="K22" s="48"/>
    </row>
    <row r="23" spans="1:11" ht="24" customHeight="1" x14ac:dyDescent="0.2">
      <c r="A23" s="67"/>
      <c r="B23" s="47"/>
      <c r="C23" s="49"/>
      <c r="D23" s="42"/>
      <c r="E23" s="42"/>
      <c r="F23" s="43"/>
      <c r="G23" s="42"/>
      <c r="H23" s="44"/>
      <c r="I23" s="45"/>
      <c r="J23" s="48"/>
      <c r="K23" s="48"/>
    </row>
    <row r="24" spans="1:11" ht="24" customHeight="1" x14ac:dyDescent="0.2">
      <c r="A24" s="67"/>
      <c r="B24" s="47"/>
      <c r="C24" s="49"/>
      <c r="D24" s="42"/>
      <c r="E24" s="42"/>
      <c r="F24" s="43"/>
      <c r="G24" s="42"/>
      <c r="H24" s="44"/>
      <c r="I24" s="45"/>
      <c r="J24" s="48"/>
      <c r="K24" s="48"/>
    </row>
    <row r="25" spans="1:11" ht="24" customHeight="1" x14ac:dyDescent="0.2">
      <c r="A25" s="67"/>
      <c r="B25" s="47"/>
      <c r="C25" s="49"/>
      <c r="D25" s="42"/>
      <c r="E25" s="42"/>
      <c r="F25" s="43"/>
      <c r="G25" s="42"/>
      <c r="H25" s="44"/>
      <c r="I25" s="45"/>
      <c r="J25" s="48"/>
      <c r="K25" s="48"/>
    </row>
    <row r="26" spans="1:11" ht="24" customHeight="1" thickBot="1" x14ac:dyDescent="0.25">
      <c r="A26" s="74"/>
      <c r="B26" s="75"/>
      <c r="C26" s="76"/>
      <c r="D26" s="77"/>
      <c r="E26" s="77"/>
      <c r="F26" s="78"/>
      <c r="G26" s="77"/>
      <c r="H26" s="79"/>
      <c r="I26" s="80"/>
      <c r="J26" s="81"/>
      <c r="K26" s="81"/>
    </row>
    <row r="27" spans="1:11" ht="29.25" customHeight="1" x14ac:dyDescent="0.2">
      <c r="A27" s="67"/>
      <c r="B27" s="40"/>
      <c r="C27" s="41"/>
      <c r="D27" s="42"/>
      <c r="E27" s="42"/>
      <c r="F27" s="43"/>
      <c r="G27" s="42"/>
      <c r="H27" s="73"/>
      <c r="I27" s="45"/>
      <c r="J27" s="46"/>
      <c r="K27" s="46"/>
    </row>
    <row r="28" spans="1:11" ht="20.25" customHeight="1" x14ac:dyDescent="0.2">
      <c r="A28" s="67"/>
      <c r="B28" s="47"/>
      <c r="C28" s="49"/>
      <c r="D28" s="42"/>
      <c r="E28" s="42"/>
      <c r="F28" s="43"/>
      <c r="G28" s="42"/>
      <c r="H28" s="44"/>
      <c r="I28" s="45"/>
      <c r="J28" s="48"/>
      <c r="K28" s="48"/>
    </row>
    <row r="29" spans="1:11" ht="41.25" customHeight="1" x14ac:dyDescent="0.2">
      <c r="A29" s="67"/>
      <c r="B29" s="47"/>
      <c r="C29" s="49"/>
      <c r="D29" s="42"/>
      <c r="E29" s="42"/>
      <c r="F29" s="43"/>
      <c r="G29" s="42"/>
      <c r="H29" s="44"/>
      <c r="I29" s="45"/>
      <c r="J29" s="48"/>
      <c r="K29" s="48"/>
    </row>
    <row r="30" spans="1:11" ht="36.75" customHeight="1" x14ac:dyDescent="0.2">
      <c r="A30" s="67"/>
      <c r="B30" s="47"/>
      <c r="C30" s="49"/>
      <c r="D30" s="42"/>
      <c r="E30" s="42"/>
      <c r="F30" s="43"/>
      <c r="G30" s="42"/>
      <c r="H30" s="44"/>
      <c r="I30" s="45"/>
      <c r="J30" s="48"/>
      <c r="K30" s="48"/>
    </row>
    <row r="31" spans="1:11" ht="48.75" customHeight="1" x14ac:dyDescent="0.2">
      <c r="A31" s="67"/>
      <c r="B31" s="47"/>
      <c r="C31" s="49"/>
      <c r="D31" s="42"/>
      <c r="E31" s="42"/>
      <c r="F31" s="43"/>
      <c r="G31" s="42"/>
      <c r="H31" s="44"/>
      <c r="I31" s="45"/>
      <c r="J31" s="48"/>
      <c r="K31" s="48"/>
    </row>
    <row r="32" spans="1:11" ht="41.25" customHeight="1" thickBot="1" x14ac:dyDescent="0.25">
      <c r="A32" s="74"/>
      <c r="B32" s="75"/>
      <c r="C32" s="76"/>
      <c r="D32" s="77"/>
      <c r="E32" s="77"/>
      <c r="F32" s="43"/>
      <c r="G32" s="77"/>
      <c r="H32" s="79"/>
      <c r="I32" s="80"/>
      <c r="J32" s="81"/>
      <c r="K32" s="81"/>
    </row>
    <row r="33" spans="1:11" ht="21" customHeight="1" x14ac:dyDescent="0.2">
      <c r="A33" s="67"/>
      <c r="B33" s="40"/>
      <c r="C33" s="41"/>
      <c r="D33" s="42"/>
      <c r="E33" s="42"/>
      <c r="F33" s="82"/>
      <c r="G33" s="42"/>
      <c r="H33" s="73"/>
      <c r="I33" s="45"/>
      <c r="J33" s="46"/>
      <c r="K33" s="46"/>
    </row>
    <row r="34" spans="1:11" ht="21.75" customHeight="1" x14ac:dyDescent="0.2">
      <c r="A34" s="67"/>
      <c r="B34" s="47"/>
      <c r="C34" s="49"/>
      <c r="D34" s="42"/>
      <c r="E34" s="42"/>
      <c r="F34" s="66"/>
      <c r="G34" s="42"/>
      <c r="H34" s="44"/>
      <c r="I34" s="45"/>
      <c r="J34" s="48"/>
      <c r="K34" s="48"/>
    </row>
    <row r="35" spans="1:11" ht="21.75" customHeight="1" x14ac:dyDescent="0.2">
      <c r="A35" s="67"/>
      <c r="B35" s="47"/>
      <c r="C35" s="49"/>
      <c r="D35" s="42"/>
      <c r="E35" s="42"/>
      <c r="F35" s="66"/>
      <c r="G35" s="42"/>
      <c r="H35" s="44"/>
      <c r="I35" s="45"/>
      <c r="J35" s="48"/>
      <c r="K35" s="48"/>
    </row>
    <row r="36" spans="1:11" ht="21.75" customHeight="1" x14ac:dyDescent="0.2">
      <c r="A36" s="67"/>
      <c r="B36" s="47"/>
      <c r="C36" s="49"/>
      <c r="D36" s="42"/>
      <c r="E36" s="42"/>
      <c r="F36" s="66"/>
      <c r="G36" s="42"/>
      <c r="H36" s="44"/>
      <c r="I36" s="45"/>
      <c r="J36" s="48"/>
      <c r="K36" s="48"/>
    </row>
    <row r="37" spans="1:11" ht="21.75" customHeight="1" x14ac:dyDescent="0.2">
      <c r="A37" s="67"/>
      <c r="B37" s="47"/>
      <c r="C37" s="49"/>
      <c r="D37" s="42"/>
      <c r="E37" s="42"/>
      <c r="F37" s="66"/>
      <c r="G37" s="42"/>
      <c r="H37" s="44"/>
      <c r="I37" s="45"/>
      <c r="J37" s="48"/>
      <c r="K37" s="48"/>
    </row>
    <row r="38" spans="1:11" ht="21.75" customHeight="1" x14ac:dyDescent="0.2">
      <c r="A38" s="67"/>
      <c r="B38" s="47"/>
      <c r="C38" s="49"/>
      <c r="D38" s="42"/>
      <c r="E38" s="42"/>
      <c r="F38" s="66"/>
      <c r="G38" s="42"/>
      <c r="H38" s="44"/>
      <c r="I38" s="45"/>
      <c r="J38" s="48"/>
      <c r="K38" s="48"/>
    </row>
    <row r="39" spans="1:11" ht="21" customHeight="1" thickBot="1" x14ac:dyDescent="0.25">
      <c r="A39" s="74"/>
      <c r="B39" s="75"/>
      <c r="C39" s="76"/>
      <c r="D39" s="77"/>
      <c r="E39" s="77"/>
      <c r="F39" s="83"/>
      <c r="G39" s="77"/>
      <c r="H39" s="79"/>
      <c r="I39" s="80"/>
      <c r="J39" s="81"/>
      <c r="K39" s="81"/>
    </row>
    <row r="40" spans="1:11" ht="19.5" customHeight="1" x14ac:dyDescent="0.2">
      <c r="A40" s="67"/>
      <c r="B40" s="40"/>
      <c r="C40" s="41"/>
      <c r="D40" s="42"/>
      <c r="E40" s="42"/>
      <c r="F40" s="43"/>
      <c r="G40" s="42"/>
      <c r="H40" s="73"/>
      <c r="I40" s="45"/>
      <c r="J40" s="46"/>
      <c r="K40" s="46"/>
    </row>
    <row r="41" spans="1:11" ht="17.25" customHeight="1" x14ac:dyDescent="0.2">
      <c r="A41" s="67"/>
      <c r="B41" s="47"/>
      <c r="C41" s="49"/>
      <c r="D41" s="42"/>
      <c r="E41" s="42"/>
      <c r="F41" s="43"/>
      <c r="G41" s="42"/>
      <c r="H41" s="44"/>
      <c r="I41" s="45"/>
      <c r="J41" s="48"/>
      <c r="K41" s="48"/>
    </row>
    <row r="42" spans="1:11" ht="17.25" customHeight="1" x14ac:dyDescent="0.2">
      <c r="A42" s="67"/>
      <c r="B42" s="47"/>
      <c r="C42" s="49"/>
      <c r="D42" s="42"/>
      <c r="E42" s="42"/>
      <c r="F42" s="43"/>
      <c r="G42" s="42"/>
      <c r="H42" s="44"/>
      <c r="I42" s="45"/>
      <c r="J42" s="48"/>
      <c r="K42" s="48"/>
    </row>
    <row r="43" spans="1:11" ht="17.25" customHeight="1" x14ac:dyDescent="0.2">
      <c r="A43" s="67"/>
      <c r="B43" s="47"/>
      <c r="C43" s="49"/>
      <c r="D43" s="42"/>
      <c r="E43" s="42"/>
      <c r="F43" s="43"/>
      <c r="G43" s="42"/>
      <c r="H43" s="44"/>
      <c r="I43" s="45"/>
      <c r="J43" s="48"/>
      <c r="K43" s="48"/>
    </row>
    <row r="44" spans="1:11" ht="17.25" customHeight="1" x14ac:dyDescent="0.2">
      <c r="A44" s="67"/>
      <c r="B44" s="47"/>
      <c r="C44" s="49"/>
      <c r="D44" s="42"/>
      <c r="E44" s="42"/>
      <c r="F44" s="43"/>
      <c r="G44" s="42"/>
      <c r="H44" s="44"/>
      <c r="I44" s="45"/>
      <c r="J44" s="48"/>
      <c r="K44" s="48"/>
    </row>
    <row r="45" spans="1:11" ht="17.25" customHeight="1" x14ac:dyDescent="0.2">
      <c r="A45" s="67"/>
      <c r="B45" s="47"/>
      <c r="C45" s="49"/>
      <c r="D45" s="42"/>
      <c r="E45" s="42"/>
      <c r="F45" s="43"/>
      <c r="G45" s="42"/>
      <c r="H45" s="44"/>
      <c r="I45" s="45"/>
      <c r="J45" s="48"/>
      <c r="K45" s="48"/>
    </row>
    <row r="46" spans="1:11" ht="25.5" customHeight="1" thickBot="1" x14ac:dyDescent="0.25">
      <c r="A46" s="74"/>
      <c r="B46" s="75"/>
      <c r="C46" s="76"/>
      <c r="D46" s="77"/>
      <c r="E46" s="77"/>
      <c r="F46" s="78"/>
      <c r="G46" s="77"/>
      <c r="H46" s="79"/>
      <c r="I46" s="80"/>
      <c r="J46" s="81"/>
      <c r="K46" s="81"/>
    </row>
    <row r="47" spans="1:11" ht="18.75" customHeight="1" x14ac:dyDescent="0.2">
      <c r="A47" s="67"/>
      <c r="B47" s="40"/>
      <c r="C47" s="41"/>
      <c r="D47" s="42"/>
      <c r="E47" s="42"/>
      <c r="F47" s="43"/>
      <c r="G47" s="42"/>
      <c r="H47" s="73"/>
      <c r="I47" s="45"/>
      <c r="J47" s="46"/>
      <c r="K47" s="46"/>
    </row>
    <row r="48" spans="1:11" ht="19.5" customHeight="1" x14ac:dyDescent="0.2">
      <c r="A48" s="67"/>
      <c r="B48" s="47"/>
      <c r="C48" s="49"/>
      <c r="D48" s="42"/>
      <c r="E48" s="42"/>
      <c r="F48" s="43"/>
      <c r="G48" s="42"/>
      <c r="H48" s="44"/>
      <c r="I48" s="45"/>
      <c r="J48" s="48"/>
      <c r="K48" s="48"/>
    </row>
    <row r="49" spans="1:11" ht="19.5" customHeight="1" x14ac:dyDescent="0.2">
      <c r="A49" s="67"/>
      <c r="B49" s="47"/>
      <c r="C49" s="49"/>
      <c r="D49" s="42"/>
      <c r="E49" s="42"/>
      <c r="F49" s="43"/>
      <c r="G49" s="42"/>
      <c r="H49" s="44"/>
      <c r="I49" s="45"/>
      <c r="J49" s="48"/>
      <c r="K49" s="48"/>
    </row>
    <row r="50" spans="1:11" ht="19.5" customHeight="1" x14ac:dyDescent="0.2">
      <c r="A50" s="67"/>
      <c r="B50" s="47"/>
      <c r="C50" s="49"/>
      <c r="D50" s="42"/>
      <c r="E50" s="42"/>
      <c r="F50" s="43"/>
      <c r="G50" s="42"/>
      <c r="H50" s="44"/>
      <c r="I50" s="45"/>
      <c r="J50" s="48"/>
      <c r="K50" s="48"/>
    </row>
    <row r="51" spans="1:11" ht="19.5" customHeight="1" x14ac:dyDescent="0.2">
      <c r="A51" s="67"/>
      <c r="B51" s="47"/>
      <c r="C51" s="49"/>
      <c r="D51" s="42"/>
      <c r="E51" s="42"/>
      <c r="F51" s="43"/>
      <c r="G51" s="42"/>
      <c r="H51" s="44"/>
      <c r="I51" s="45"/>
      <c r="J51" s="48"/>
      <c r="K51" s="48"/>
    </row>
    <row r="52" spans="1:11" ht="19.5" customHeight="1" x14ac:dyDescent="0.2">
      <c r="A52" s="67"/>
      <c r="B52" s="47"/>
      <c r="C52" s="49"/>
      <c r="D52" s="42"/>
      <c r="E52" s="42"/>
      <c r="F52" s="43"/>
      <c r="G52" s="42"/>
      <c r="H52" s="44"/>
      <c r="I52" s="45"/>
      <c r="J52" s="48"/>
      <c r="K52" s="48"/>
    </row>
    <row r="53" spans="1:11" ht="20.25" customHeight="1" thickBot="1" x14ac:dyDescent="0.25">
      <c r="A53" s="74"/>
      <c r="B53" s="75"/>
      <c r="C53" s="76"/>
      <c r="D53" s="77"/>
      <c r="E53" s="77"/>
      <c r="F53" s="78"/>
      <c r="G53" s="77"/>
      <c r="H53" s="79"/>
      <c r="I53" s="80"/>
      <c r="J53" s="81"/>
      <c r="K53" s="81"/>
    </row>
    <row r="54" spans="1:11" ht="18" customHeight="1" x14ac:dyDescent="0.2">
      <c r="A54" s="67"/>
      <c r="B54" s="40"/>
      <c r="C54" s="41"/>
      <c r="D54" s="42"/>
      <c r="E54" s="42"/>
      <c r="F54" s="43"/>
      <c r="G54" s="42"/>
      <c r="H54" s="73"/>
      <c r="I54" s="45"/>
      <c r="J54" s="46"/>
      <c r="K54" s="46"/>
    </row>
    <row r="55" spans="1:11" ht="17.25" customHeight="1" x14ac:dyDescent="0.2">
      <c r="A55" s="67"/>
      <c r="B55" s="47"/>
      <c r="C55" s="49"/>
      <c r="D55" s="42"/>
      <c r="E55" s="42"/>
      <c r="F55" s="43"/>
      <c r="G55" s="42"/>
      <c r="H55" s="44"/>
      <c r="I55" s="45"/>
      <c r="J55" s="48"/>
      <c r="K55" s="48"/>
    </row>
    <row r="56" spans="1:11" ht="17.25" customHeight="1" x14ac:dyDescent="0.2">
      <c r="A56" s="67"/>
      <c r="B56" s="47"/>
      <c r="C56" s="49"/>
      <c r="D56" s="42"/>
      <c r="E56" s="42"/>
      <c r="F56" s="43"/>
      <c r="G56" s="42"/>
      <c r="H56" s="44"/>
      <c r="I56" s="45"/>
      <c r="J56" s="48"/>
      <c r="K56" s="48"/>
    </row>
    <row r="57" spans="1:11" ht="17.25" customHeight="1" x14ac:dyDescent="0.2">
      <c r="A57" s="67"/>
      <c r="B57" s="47"/>
      <c r="C57" s="49"/>
      <c r="D57" s="42"/>
      <c r="E57" s="42"/>
      <c r="F57" s="43"/>
      <c r="G57" s="42"/>
      <c r="H57" s="44"/>
      <c r="I57" s="45"/>
      <c r="J57" s="48"/>
      <c r="K57" s="48"/>
    </row>
    <row r="58" spans="1:11" ht="17.25" customHeight="1" x14ac:dyDescent="0.2">
      <c r="A58" s="67"/>
      <c r="B58" s="47"/>
      <c r="C58" s="49"/>
      <c r="D58" s="42"/>
      <c r="E58" s="42"/>
      <c r="F58" s="43"/>
      <c r="G58" s="42"/>
      <c r="H58" s="44"/>
      <c r="I58" s="45"/>
      <c r="J58" s="48"/>
      <c r="K58" s="48"/>
    </row>
    <row r="59" spans="1:11" ht="17.25" customHeight="1" x14ac:dyDescent="0.2">
      <c r="A59" s="67"/>
      <c r="B59" s="47"/>
      <c r="C59" s="49"/>
      <c r="D59" s="42"/>
      <c r="E59" s="42"/>
      <c r="F59" s="43"/>
      <c r="G59" s="42"/>
      <c r="H59" s="44"/>
      <c r="I59" s="45"/>
      <c r="J59" s="48"/>
      <c r="K59" s="48"/>
    </row>
    <row r="60" spans="1:11" ht="18.75" customHeight="1" thickBot="1" x14ac:dyDescent="0.25">
      <c r="A60" s="74"/>
      <c r="B60" s="75"/>
      <c r="C60" s="76"/>
      <c r="D60" s="77"/>
      <c r="E60" s="77"/>
      <c r="F60" s="78"/>
      <c r="G60" s="77"/>
      <c r="H60" s="79"/>
      <c r="I60" s="80"/>
      <c r="J60" s="81"/>
      <c r="K60" s="81"/>
    </row>
    <row r="61" spans="1:11" ht="18.75" customHeight="1" x14ac:dyDescent="0.2">
      <c r="A61" s="67"/>
      <c r="B61" s="40"/>
      <c r="C61" s="41"/>
      <c r="D61" s="42"/>
      <c r="E61" s="42"/>
      <c r="F61" s="43"/>
      <c r="G61" s="42"/>
      <c r="H61" s="73"/>
      <c r="I61" s="45"/>
      <c r="J61" s="46"/>
      <c r="K61" s="46"/>
    </row>
    <row r="62" spans="1:11" ht="18.75" customHeight="1" x14ac:dyDescent="0.2">
      <c r="A62" s="67"/>
      <c r="B62" s="47"/>
      <c r="C62" s="49"/>
      <c r="D62" s="42"/>
      <c r="E62" s="42"/>
      <c r="F62" s="43"/>
      <c r="G62" s="42"/>
      <c r="H62" s="44"/>
      <c r="I62" s="45"/>
      <c r="J62" s="48"/>
      <c r="K62" s="48"/>
    </row>
    <row r="63" spans="1:11" ht="18.75" customHeight="1" x14ac:dyDescent="0.2">
      <c r="A63" s="67"/>
      <c r="B63" s="47"/>
      <c r="C63" s="49"/>
      <c r="D63" s="42"/>
      <c r="E63" s="42"/>
      <c r="F63" s="43"/>
      <c r="G63" s="42"/>
      <c r="H63" s="44"/>
      <c r="I63" s="45"/>
      <c r="J63" s="48"/>
      <c r="K63" s="48"/>
    </row>
    <row r="64" spans="1:11" ht="18.75" customHeight="1" x14ac:dyDescent="0.2">
      <c r="A64" s="67"/>
      <c r="B64" s="47"/>
      <c r="C64" s="49"/>
      <c r="D64" s="42"/>
      <c r="E64" s="42"/>
      <c r="F64" s="43"/>
      <c r="G64" s="42"/>
      <c r="H64" s="44"/>
      <c r="I64" s="45"/>
      <c r="J64" s="48"/>
      <c r="K64" s="48"/>
    </row>
    <row r="65" spans="1:11" ht="18" customHeight="1" x14ac:dyDescent="0.2">
      <c r="A65" s="67"/>
      <c r="B65" s="47"/>
      <c r="C65" s="49"/>
      <c r="D65" s="42"/>
      <c r="E65" s="42"/>
      <c r="F65" s="43"/>
      <c r="G65" s="42"/>
      <c r="H65" s="44"/>
      <c r="I65" s="45"/>
      <c r="J65" s="48"/>
      <c r="K65" s="48"/>
    </row>
    <row r="66" spans="1:11" ht="18" customHeight="1" x14ac:dyDescent="0.2">
      <c r="A66" s="67"/>
      <c r="B66" s="47"/>
      <c r="C66" s="49"/>
      <c r="D66" s="42"/>
      <c r="E66" s="42"/>
      <c r="F66" s="43"/>
      <c r="G66" s="42"/>
      <c r="H66" s="44"/>
      <c r="I66" s="45"/>
      <c r="J66" s="48"/>
      <c r="K66" s="48"/>
    </row>
    <row r="67" spans="1:11" ht="24" customHeight="1" thickBot="1" x14ac:dyDescent="0.25">
      <c r="A67" s="74"/>
      <c r="B67" s="75"/>
      <c r="C67" s="76"/>
      <c r="D67" s="77"/>
      <c r="E67" s="77"/>
      <c r="F67" s="78"/>
      <c r="G67" s="77"/>
      <c r="H67" s="79"/>
      <c r="I67" s="80"/>
      <c r="J67" s="81"/>
      <c r="K67" s="81"/>
    </row>
    <row r="68" spans="1:11" ht="24" customHeight="1" x14ac:dyDescent="0.2">
      <c r="A68" s="50"/>
      <c r="B68" s="84"/>
      <c r="C68" s="85"/>
      <c r="D68" s="53"/>
      <c r="E68" s="53"/>
      <c r="F68" s="53"/>
      <c r="G68" s="53"/>
      <c r="H68" s="53"/>
      <c r="I68" s="86"/>
      <c r="J68" s="86"/>
      <c r="K68" s="86"/>
    </row>
    <row r="70" spans="1:11" ht="53.25" customHeight="1" x14ac:dyDescent="0.2"/>
    <row r="71" spans="1:11" ht="42" customHeight="1" x14ac:dyDescent="0.2"/>
    <row r="72" spans="1:11" ht="42" customHeight="1" x14ac:dyDescent="0.2"/>
    <row r="73" spans="1:11" ht="21.75" customHeight="1" x14ac:dyDescent="0.2"/>
    <row r="74" spans="1:11" ht="18.75" customHeight="1" x14ac:dyDescent="0.2"/>
    <row r="75" spans="1:11" ht="21.75" customHeight="1" x14ac:dyDescent="0.2"/>
    <row r="76" spans="1:11" ht="18.75" customHeight="1" x14ac:dyDescent="0.2"/>
    <row r="77" spans="1:11" ht="18" customHeight="1" x14ac:dyDescent="0.2"/>
    <row r="78" spans="1:11" ht="21" customHeight="1" x14ac:dyDescent="0.2"/>
    <row r="79" spans="1:11" ht="16.5" customHeight="1" x14ac:dyDescent="0.2"/>
    <row r="80" spans="1:11"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9">
    <mergeCell ref="A4:K4"/>
    <mergeCell ref="A5:A12"/>
    <mergeCell ref="G2:G3"/>
    <mergeCell ref="F2:F3"/>
    <mergeCell ref="E2:E3"/>
    <mergeCell ref="D2:D3"/>
    <mergeCell ref="C2:C3"/>
    <mergeCell ref="B2:B3"/>
    <mergeCell ref="A2:A3"/>
  </mergeCells>
  <dataValidations count="9">
    <dataValidation type="decimal" operator="lessThanOrEqual" showInputMessage="1" showErrorMessage="1" sqref="J6" xr:uid="{00000000-0002-0000-0200-000000000000}">
      <formula1>I6</formula1>
    </dataValidation>
    <dataValidation type="list" allowBlank="1" showInputMessage="1" showErrorMessage="1" sqref="G5:G19" xr:uid="{00000000-0002-0000-0200-000001000000}">
      <formula1>"Build, Unit Test, System Test, Coding, General , Integration,Regression Testing"</formula1>
    </dataValidation>
    <dataValidation type="decimal" operator="lessThanOrEqual" allowBlank="1" showInputMessage="1" showErrorMessage="1" sqref="J5 J7:J68 K5:K68" xr:uid="{00000000-0002-0000-0200-000002000000}">
      <formula1>I5</formula1>
    </dataValidation>
    <dataValidation type="list" allowBlank="1" showInputMessage="1" showErrorMessage="1" sqref="H105:H65535 H68" xr:uid="{00000000-0002-0000-0200-000003000000}">
      <formula1>Status</formula1>
    </dataValidation>
    <dataValidation type="list" allowBlank="1" showInputMessage="1" showErrorMessage="1" sqref="G105:G65535" xr:uid="{00000000-0002-0000-0200-000004000000}">
      <formula1>Category</formula1>
    </dataValidation>
    <dataValidation type="list" allowBlank="1" showInputMessage="1" showErrorMessage="1" sqref="F105:F65535" xr:uid="{00000000-0002-0000-0200-000005000000}">
      <formula1>Team</formula1>
    </dataValidation>
    <dataValidation type="decimal" allowBlank="1" showInputMessage="1" showErrorMessage="1" sqref="I5:I67" xr:uid="{00000000-0002-0000-0200-000006000000}">
      <formula1>0</formula1>
      <formula2>12</formula2>
    </dataValidation>
    <dataValidation type="list" allowBlank="1" showInputMessage="1" showErrorMessage="1" sqref="H5:H67" xr:uid="{00000000-0002-0000-0200-000007000000}">
      <formula1>"1- Not Started, 2- In Progress, 3- Completed"</formula1>
    </dataValidation>
    <dataValidation type="list" allowBlank="1" showInputMessage="1" showErrorMessage="1" sqref="G20:G68" xr:uid="{00000000-0002-0000-0200-000008000000}">
      <formula1>"Build, Unit Test, System Test, Coding, General , Integration"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H26"/>
  <sheetViews>
    <sheetView showGridLines="0" workbookViewId="0">
      <selection activeCell="O5" sqref="O5"/>
    </sheetView>
  </sheetViews>
  <sheetFormatPr defaultRowHeight="12.75" x14ac:dyDescent="0.2"/>
  <cols>
    <col min="2" max="2" width="12.42578125" customWidth="1"/>
    <col min="4" max="4" width="111" customWidth="1"/>
    <col min="6" max="6" width="11.140625" customWidth="1"/>
    <col min="7" max="7" width="16" customWidth="1"/>
    <col min="8" max="8" width="20.42578125" customWidth="1"/>
  </cols>
  <sheetData>
    <row r="1" spans="1:8" ht="75.75" customHeight="1" x14ac:dyDescent="0.2">
      <c r="A1" s="30" t="s">
        <v>37</v>
      </c>
      <c r="B1" s="30" t="s">
        <v>38</v>
      </c>
      <c r="C1" s="37" t="s">
        <v>1</v>
      </c>
      <c r="D1" s="37" t="s">
        <v>6</v>
      </c>
      <c r="E1" s="37" t="s">
        <v>15</v>
      </c>
      <c r="F1" s="37" t="s">
        <v>16</v>
      </c>
      <c r="G1" s="37" t="s">
        <v>17</v>
      </c>
      <c r="H1" s="37" t="s">
        <v>0</v>
      </c>
    </row>
    <row r="2" spans="1:8" ht="45.75" customHeight="1" x14ac:dyDescent="0.2">
      <c r="A2" s="5">
        <v>2</v>
      </c>
      <c r="B2" s="5">
        <v>2</v>
      </c>
      <c r="C2" s="33" t="s">
        <v>71</v>
      </c>
      <c r="D2" s="105" t="s">
        <v>74</v>
      </c>
      <c r="E2" s="17" t="s">
        <v>66</v>
      </c>
      <c r="F2" s="17">
        <v>8</v>
      </c>
      <c r="G2" s="96" t="s">
        <v>87</v>
      </c>
      <c r="H2" s="17" t="s">
        <v>92</v>
      </c>
    </row>
    <row r="3" spans="1:8" ht="48.75" customHeight="1" x14ac:dyDescent="0.2">
      <c r="A3" s="5">
        <v>2</v>
      </c>
      <c r="B3" s="5">
        <v>2</v>
      </c>
      <c r="C3" s="33" t="s">
        <v>72</v>
      </c>
      <c r="D3" s="104" t="s">
        <v>73</v>
      </c>
      <c r="E3" s="17" t="s">
        <v>66</v>
      </c>
      <c r="F3" s="17">
        <v>8</v>
      </c>
      <c r="G3" s="17" t="s">
        <v>87</v>
      </c>
      <c r="H3" s="17" t="s">
        <v>92</v>
      </c>
    </row>
    <row r="4" spans="1:8" ht="45" customHeight="1" x14ac:dyDescent="0.2">
      <c r="A4" s="5">
        <v>2</v>
      </c>
      <c r="B4" s="5">
        <v>2</v>
      </c>
      <c r="C4" s="32" t="s">
        <v>85</v>
      </c>
      <c r="D4" s="103" t="s">
        <v>94</v>
      </c>
      <c r="E4" s="17" t="s">
        <v>66</v>
      </c>
      <c r="F4" s="17">
        <v>5</v>
      </c>
      <c r="G4" s="18" t="s">
        <v>87</v>
      </c>
      <c r="H4" s="17" t="s">
        <v>92</v>
      </c>
    </row>
    <row r="5" spans="1:8" ht="27.75" customHeight="1" x14ac:dyDescent="0.2">
      <c r="A5" s="5"/>
      <c r="B5" s="5"/>
      <c r="C5" s="32"/>
      <c r="D5" s="24"/>
      <c r="E5" s="17"/>
      <c r="F5" s="17"/>
      <c r="G5" s="18"/>
      <c r="H5" s="17"/>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E2:E26" xr:uid="{00000000-0002-0000-0300-000000000000}">
      <formula1>"MUST HAVE, SHOULD HAVE, COULD HAVE, WON'T HAVE"</formula1>
    </dataValidation>
    <dataValidation type="list" allowBlank="1" showInputMessage="1" showErrorMessage="1" sqref="F2:F26" xr:uid="{00000000-0002-0000-0300-000001000000}">
      <formula1>"0,1,2,3,5,8,13,21,40,100,?,∞"</formula1>
    </dataValidation>
    <dataValidation type="list" allowBlank="1" showInputMessage="1" showErrorMessage="1" sqref="H2:H26" xr:uid="{00000000-0002-0000-0300-000002000000}">
      <formula1>"1- Not Started, 2- In Progress, 3- Completed"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107"/>
  <sheetViews>
    <sheetView showGridLines="0" topLeftCell="A19" zoomScaleNormal="100" workbookViewId="0">
      <selection activeCell="H11" sqref="H11"/>
    </sheetView>
  </sheetViews>
  <sheetFormatPr defaultRowHeight="11.25" x14ac:dyDescent="0.2"/>
  <cols>
    <col min="1" max="1" width="10" style="38" customWidth="1"/>
    <col min="2" max="2" width="9.7109375" style="56" customWidth="1"/>
    <col min="3" max="3" width="41.28515625" style="57" customWidth="1"/>
    <col min="4" max="4" width="11.42578125" style="58" customWidth="1"/>
    <col min="5" max="5" width="11.42578125" style="59" customWidth="1"/>
    <col min="6" max="6" width="16.28515625" style="60" customWidth="1"/>
    <col min="7" max="7" width="17" style="38" customWidth="1"/>
    <col min="8" max="8" width="13.28515625" style="61" customWidth="1"/>
    <col min="9" max="9" width="9.28515625" style="61" customWidth="1"/>
    <col min="10" max="10" width="10.85546875" style="61" customWidth="1"/>
    <col min="11" max="12" width="10.28515625" style="38" customWidth="1"/>
    <col min="13" max="16384" width="9.140625" style="38"/>
  </cols>
  <sheetData>
    <row r="1" spans="1:12" ht="18.75" customHeight="1" thickBot="1" x14ac:dyDescent="0.25">
      <c r="A1" s="127" t="s">
        <v>43</v>
      </c>
      <c r="B1" s="128"/>
      <c r="C1" s="128"/>
      <c r="D1" s="128"/>
      <c r="E1" s="128"/>
      <c r="F1" s="128"/>
      <c r="G1" s="128"/>
      <c r="H1" s="128"/>
      <c r="I1" s="128"/>
      <c r="J1" s="128"/>
      <c r="K1" s="128"/>
      <c r="L1" s="102"/>
    </row>
    <row r="2" spans="1:12" s="39" customFormat="1" ht="46.5" customHeight="1" x14ac:dyDescent="0.2">
      <c r="A2" s="125" t="s">
        <v>1</v>
      </c>
      <c r="B2" s="130" t="s">
        <v>3</v>
      </c>
      <c r="C2" s="119" t="s">
        <v>2</v>
      </c>
      <c r="D2" s="119" t="s">
        <v>8</v>
      </c>
      <c r="E2" s="121" t="s">
        <v>7</v>
      </c>
      <c r="F2" s="119" t="s">
        <v>4</v>
      </c>
      <c r="G2" s="119" t="s">
        <v>5</v>
      </c>
      <c r="H2" s="119" t="s">
        <v>0</v>
      </c>
      <c r="I2" s="90" t="s">
        <v>34</v>
      </c>
      <c r="J2" s="91" t="s">
        <v>128</v>
      </c>
      <c r="K2" s="91" t="s">
        <v>129</v>
      </c>
      <c r="L2" s="91" t="s">
        <v>130</v>
      </c>
    </row>
    <row r="3" spans="1:12" s="39" customFormat="1" ht="30" customHeight="1" thickBot="1" x14ac:dyDescent="0.25">
      <c r="A3" s="129"/>
      <c r="B3" s="131"/>
      <c r="C3" s="132"/>
      <c r="D3" s="132"/>
      <c r="E3" s="133"/>
      <c r="F3" s="132"/>
      <c r="G3" s="132"/>
      <c r="H3" s="132"/>
      <c r="I3" s="62">
        <f>SUM(I5:I803)</f>
        <v>39</v>
      </c>
      <c r="J3" s="62">
        <f>SUM(J5:J803)</f>
        <v>13</v>
      </c>
      <c r="K3" s="62">
        <f>SUM(K5:K803)</f>
        <v>13</v>
      </c>
      <c r="L3" s="62">
        <f>SUM(L5:L803)</f>
        <v>13</v>
      </c>
    </row>
    <row r="4" spans="1:12" s="39" customFormat="1" ht="33.75" customHeight="1" x14ac:dyDescent="0.2">
      <c r="A4" s="135" t="s">
        <v>54</v>
      </c>
      <c r="B4" s="135"/>
      <c r="C4" s="135"/>
      <c r="D4" s="135"/>
      <c r="E4" s="135"/>
      <c r="F4" s="135"/>
      <c r="G4" s="135"/>
      <c r="H4" s="135"/>
      <c r="I4" s="135"/>
      <c r="J4" s="135"/>
      <c r="K4" s="135"/>
      <c r="L4" s="101"/>
    </row>
    <row r="5" spans="1:12" ht="32.25" customHeight="1" x14ac:dyDescent="0.2">
      <c r="A5" s="117" t="s">
        <v>88</v>
      </c>
      <c r="B5" s="40" t="s">
        <v>27</v>
      </c>
      <c r="C5" s="97" t="s">
        <v>56</v>
      </c>
      <c r="D5" s="42">
        <v>44201</v>
      </c>
      <c r="E5" s="42">
        <v>44204</v>
      </c>
      <c r="F5" s="43" t="s">
        <v>75</v>
      </c>
      <c r="G5" s="42" t="s">
        <v>96</v>
      </c>
      <c r="H5" s="44" t="s">
        <v>92</v>
      </c>
      <c r="I5" s="45">
        <v>1.5</v>
      </c>
      <c r="J5" s="46">
        <v>0.5</v>
      </c>
      <c r="K5" s="46">
        <v>0.5</v>
      </c>
      <c r="L5" s="46">
        <v>0.5</v>
      </c>
    </row>
    <row r="6" spans="1:12" ht="36" hidden="1" customHeight="1" x14ac:dyDescent="0.2">
      <c r="A6" s="117"/>
      <c r="B6" s="47" t="s">
        <v>28</v>
      </c>
      <c r="C6" s="98" t="s">
        <v>57</v>
      </c>
      <c r="D6" s="42">
        <v>44201</v>
      </c>
      <c r="E6" s="42">
        <v>44204</v>
      </c>
      <c r="F6" s="43" t="s">
        <v>75</v>
      </c>
      <c r="G6" s="42" t="s">
        <v>91</v>
      </c>
      <c r="H6" s="44" t="s">
        <v>67</v>
      </c>
      <c r="I6" s="45">
        <v>0</v>
      </c>
      <c r="J6" s="48">
        <v>0</v>
      </c>
      <c r="K6" s="48">
        <v>0</v>
      </c>
      <c r="L6" s="48">
        <v>0</v>
      </c>
    </row>
    <row r="7" spans="1:12" ht="36" customHeight="1" x14ac:dyDescent="0.2">
      <c r="A7" s="117"/>
      <c r="B7" s="40" t="s">
        <v>28</v>
      </c>
      <c r="C7" s="99" t="s">
        <v>58</v>
      </c>
      <c r="D7" s="42">
        <v>44201</v>
      </c>
      <c r="E7" s="42">
        <v>44204</v>
      </c>
      <c r="F7" s="43" t="s">
        <v>75</v>
      </c>
      <c r="G7" s="42" t="s">
        <v>97</v>
      </c>
      <c r="H7" s="44" t="s">
        <v>92</v>
      </c>
      <c r="I7" s="45">
        <v>1.5</v>
      </c>
      <c r="J7" s="48">
        <v>0.5</v>
      </c>
      <c r="K7" s="48">
        <v>0.5</v>
      </c>
      <c r="L7" s="48">
        <v>0.5</v>
      </c>
    </row>
    <row r="8" spans="1:12" ht="36.75" customHeight="1" x14ac:dyDescent="0.2">
      <c r="A8" s="117"/>
      <c r="B8" s="47" t="s">
        <v>29</v>
      </c>
      <c r="C8" s="99" t="s">
        <v>59</v>
      </c>
      <c r="D8" s="42">
        <v>44201</v>
      </c>
      <c r="E8" s="42">
        <v>44204</v>
      </c>
      <c r="F8" s="43" t="s">
        <v>75</v>
      </c>
      <c r="G8" s="42" t="s">
        <v>70</v>
      </c>
      <c r="H8" s="44" t="s">
        <v>92</v>
      </c>
      <c r="I8" s="45">
        <v>1.5</v>
      </c>
      <c r="J8" s="48">
        <v>0.5</v>
      </c>
      <c r="K8" s="48">
        <v>0.5</v>
      </c>
      <c r="L8" s="48">
        <v>0.5</v>
      </c>
    </row>
    <row r="9" spans="1:12" ht="33" customHeight="1" x14ac:dyDescent="0.2">
      <c r="A9" s="117"/>
      <c r="B9" s="40" t="s">
        <v>30</v>
      </c>
      <c r="C9" s="99" t="s">
        <v>60</v>
      </c>
      <c r="D9" s="42">
        <v>44201</v>
      </c>
      <c r="E9" s="42">
        <v>44204</v>
      </c>
      <c r="F9" s="43" t="s">
        <v>75</v>
      </c>
      <c r="G9" s="42" t="s">
        <v>70</v>
      </c>
      <c r="H9" s="44" t="s">
        <v>92</v>
      </c>
      <c r="I9" s="45">
        <v>1.5</v>
      </c>
      <c r="J9" s="48">
        <v>0.5</v>
      </c>
      <c r="K9" s="48">
        <v>0.5</v>
      </c>
      <c r="L9" s="48">
        <v>0.5</v>
      </c>
    </row>
    <row r="10" spans="1:12" ht="28.5" customHeight="1" x14ac:dyDescent="0.2">
      <c r="A10" s="117"/>
      <c r="B10" s="47" t="s">
        <v>31</v>
      </c>
      <c r="C10" s="99" t="s">
        <v>61</v>
      </c>
      <c r="D10" s="42">
        <v>44201</v>
      </c>
      <c r="E10" s="42">
        <v>44204</v>
      </c>
      <c r="F10" s="43" t="s">
        <v>75</v>
      </c>
      <c r="G10" s="42" t="s">
        <v>70</v>
      </c>
      <c r="H10" s="44" t="s">
        <v>92</v>
      </c>
      <c r="I10" s="45">
        <v>2.25</v>
      </c>
      <c r="J10" s="48">
        <v>0.75</v>
      </c>
      <c r="K10" s="48">
        <v>0.75</v>
      </c>
      <c r="L10" s="48">
        <v>0.75</v>
      </c>
    </row>
    <row r="11" spans="1:12" ht="35.25" customHeight="1" x14ac:dyDescent="0.2">
      <c r="A11" s="117"/>
      <c r="B11" s="40" t="s">
        <v>32</v>
      </c>
      <c r="C11" s="99" t="s">
        <v>62</v>
      </c>
      <c r="D11" s="42">
        <v>44201</v>
      </c>
      <c r="E11" s="42">
        <v>44204</v>
      </c>
      <c r="F11" s="43" t="s">
        <v>75</v>
      </c>
      <c r="G11" s="42" t="s">
        <v>70</v>
      </c>
      <c r="H11" s="44" t="s">
        <v>92</v>
      </c>
      <c r="I11" s="45">
        <v>2.25</v>
      </c>
      <c r="J11" s="48">
        <v>0.75</v>
      </c>
      <c r="K11" s="48">
        <v>0.75</v>
      </c>
      <c r="L11" s="48">
        <v>0.75</v>
      </c>
    </row>
    <row r="12" spans="1:12" ht="31.5" customHeight="1" x14ac:dyDescent="0.2">
      <c r="A12" s="134"/>
      <c r="B12" s="47" t="s">
        <v>33</v>
      </c>
      <c r="C12" s="99" t="s">
        <v>63</v>
      </c>
      <c r="D12" s="42">
        <v>44201</v>
      </c>
      <c r="E12" s="42">
        <v>44204</v>
      </c>
      <c r="F12" s="43" t="s">
        <v>75</v>
      </c>
      <c r="G12" s="42" t="s">
        <v>86</v>
      </c>
      <c r="H12" s="44" t="s">
        <v>92</v>
      </c>
      <c r="I12" s="45">
        <v>1.5</v>
      </c>
      <c r="J12" s="48">
        <v>0.5</v>
      </c>
      <c r="K12" s="48">
        <v>0.5</v>
      </c>
      <c r="L12" s="48">
        <v>0.5</v>
      </c>
    </row>
    <row r="13" spans="1:12" ht="30" customHeight="1" x14ac:dyDescent="0.2">
      <c r="A13" s="116" t="s">
        <v>93</v>
      </c>
      <c r="B13" s="40" t="s">
        <v>27</v>
      </c>
      <c r="C13" s="97" t="s">
        <v>56</v>
      </c>
      <c r="D13" s="42">
        <v>44201</v>
      </c>
      <c r="E13" s="42">
        <v>44204</v>
      </c>
      <c r="F13" s="43" t="s">
        <v>75</v>
      </c>
      <c r="G13" s="42" t="s">
        <v>96</v>
      </c>
      <c r="H13" s="44" t="s">
        <v>92</v>
      </c>
      <c r="I13" s="45">
        <v>1.5</v>
      </c>
      <c r="J13" s="48">
        <v>0.5</v>
      </c>
      <c r="K13" s="48">
        <v>0.5</v>
      </c>
      <c r="L13" s="48">
        <v>0.5</v>
      </c>
    </row>
    <row r="14" spans="1:12" ht="30.75" hidden="1" customHeight="1" x14ac:dyDescent="0.2">
      <c r="A14" s="117"/>
      <c r="B14" s="47" t="s">
        <v>28</v>
      </c>
      <c r="C14" s="98" t="s">
        <v>57</v>
      </c>
      <c r="D14" s="42">
        <v>44201</v>
      </c>
      <c r="E14" s="42">
        <v>44204</v>
      </c>
      <c r="F14" s="43" t="s">
        <v>75</v>
      </c>
      <c r="G14" s="42" t="s">
        <v>91</v>
      </c>
      <c r="H14" s="44" t="s">
        <v>67</v>
      </c>
      <c r="I14" s="45">
        <v>0</v>
      </c>
      <c r="J14" s="48">
        <v>0</v>
      </c>
      <c r="K14" s="48">
        <v>0</v>
      </c>
      <c r="L14" s="48">
        <v>0</v>
      </c>
    </row>
    <row r="15" spans="1:12" ht="39" customHeight="1" x14ac:dyDescent="0.2">
      <c r="A15" s="117"/>
      <c r="B15" s="40" t="s">
        <v>28</v>
      </c>
      <c r="C15" s="99" t="s">
        <v>58</v>
      </c>
      <c r="D15" s="42">
        <v>44201</v>
      </c>
      <c r="E15" s="42">
        <v>44204</v>
      </c>
      <c r="F15" s="43" t="s">
        <v>75</v>
      </c>
      <c r="G15" s="42" t="s">
        <v>97</v>
      </c>
      <c r="H15" s="44" t="s">
        <v>92</v>
      </c>
      <c r="I15" s="45">
        <v>1.5</v>
      </c>
      <c r="J15" s="48">
        <v>0.5</v>
      </c>
      <c r="K15" s="48">
        <v>0.5</v>
      </c>
      <c r="L15" s="48">
        <v>0.5</v>
      </c>
    </row>
    <row r="16" spans="1:12" ht="43.5" customHeight="1" x14ac:dyDescent="0.2">
      <c r="A16" s="117"/>
      <c r="B16" s="40" t="s">
        <v>29</v>
      </c>
      <c r="C16" s="99" t="s">
        <v>59</v>
      </c>
      <c r="D16" s="42">
        <v>44201</v>
      </c>
      <c r="E16" s="42">
        <v>44204</v>
      </c>
      <c r="F16" s="43" t="s">
        <v>75</v>
      </c>
      <c r="G16" s="42" t="s">
        <v>70</v>
      </c>
      <c r="H16" s="44" t="s">
        <v>92</v>
      </c>
      <c r="I16" s="45">
        <v>1.5</v>
      </c>
      <c r="J16" s="48">
        <v>0.5</v>
      </c>
      <c r="K16" s="48">
        <v>0.5</v>
      </c>
      <c r="L16" s="48">
        <v>0.5</v>
      </c>
    </row>
    <row r="17" spans="1:12" ht="46.5" customHeight="1" x14ac:dyDescent="0.2">
      <c r="A17" s="117"/>
      <c r="B17" s="40" t="s">
        <v>30</v>
      </c>
      <c r="C17" s="99" t="s">
        <v>60</v>
      </c>
      <c r="D17" s="42">
        <v>44201</v>
      </c>
      <c r="E17" s="42">
        <v>44204</v>
      </c>
      <c r="F17" s="43" t="s">
        <v>75</v>
      </c>
      <c r="G17" s="42" t="s">
        <v>70</v>
      </c>
      <c r="H17" s="44" t="s">
        <v>92</v>
      </c>
      <c r="I17" s="45">
        <v>1.5</v>
      </c>
      <c r="J17" s="48">
        <v>0.5</v>
      </c>
      <c r="K17" s="48">
        <v>0.5</v>
      </c>
      <c r="L17" s="48">
        <v>0.5</v>
      </c>
    </row>
    <row r="18" spans="1:12" ht="48" customHeight="1" x14ac:dyDescent="0.2">
      <c r="A18" s="117"/>
      <c r="B18" s="47" t="s">
        <v>31</v>
      </c>
      <c r="C18" s="99" t="s">
        <v>61</v>
      </c>
      <c r="D18" s="42">
        <v>44201</v>
      </c>
      <c r="E18" s="42">
        <v>44204</v>
      </c>
      <c r="F18" s="43" t="s">
        <v>75</v>
      </c>
      <c r="G18" s="42" t="s">
        <v>70</v>
      </c>
      <c r="H18" s="44" t="s">
        <v>92</v>
      </c>
      <c r="I18" s="45">
        <v>2.25</v>
      </c>
      <c r="J18" s="48">
        <v>0.75</v>
      </c>
      <c r="K18" s="48">
        <v>0.75</v>
      </c>
      <c r="L18" s="48">
        <v>0.75</v>
      </c>
    </row>
    <row r="19" spans="1:12" ht="42.75" customHeight="1" x14ac:dyDescent="0.2">
      <c r="A19" s="117"/>
      <c r="B19" s="40" t="s">
        <v>32</v>
      </c>
      <c r="C19" s="99" t="s">
        <v>62</v>
      </c>
      <c r="D19" s="42">
        <v>44201</v>
      </c>
      <c r="E19" s="42">
        <v>44204</v>
      </c>
      <c r="F19" s="43" t="s">
        <v>75</v>
      </c>
      <c r="G19" s="42" t="s">
        <v>70</v>
      </c>
      <c r="H19" s="44" t="s">
        <v>92</v>
      </c>
      <c r="I19" s="45">
        <v>2.25</v>
      </c>
      <c r="J19" s="48">
        <v>0.75</v>
      </c>
      <c r="K19" s="48">
        <v>0.75</v>
      </c>
      <c r="L19" s="48">
        <v>0.75</v>
      </c>
    </row>
    <row r="20" spans="1:12" ht="39.75" customHeight="1" x14ac:dyDescent="0.2">
      <c r="A20" s="117"/>
      <c r="B20" s="47" t="s">
        <v>33</v>
      </c>
      <c r="C20" s="99" t="s">
        <v>63</v>
      </c>
      <c r="D20" s="42">
        <v>44201</v>
      </c>
      <c r="E20" s="42">
        <v>44204</v>
      </c>
      <c r="F20" s="43" t="s">
        <v>75</v>
      </c>
      <c r="G20" s="42" t="s">
        <v>86</v>
      </c>
      <c r="H20" s="44" t="s">
        <v>92</v>
      </c>
      <c r="I20" s="45">
        <v>1.5</v>
      </c>
      <c r="J20" s="48">
        <v>0.5</v>
      </c>
      <c r="K20" s="48">
        <v>0.5</v>
      </c>
      <c r="L20" s="48">
        <v>0.5</v>
      </c>
    </row>
    <row r="21" spans="1:12" ht="30.75" customHeight="1" x14ac:dyDescent="0.2">
      <c r="A21" s="116" t="s">
        <v>95</v>
      </c>
      <c r="B21" s="40" t="s">
        <v>27</v>
      </c>
      <c r="C21" s="97" t="s">
        <v>56</v>
      </c>
      <c r="D21" s="42">
        <v>44201</v>
      </c>
      <c r="E21" s="42">
        <v>44204</v>
      </c>
      <c r="F21" s="43" t="s">
        <v>75</v>
      </c>
      <c r="G21" s="42" t="s">
        <v>96</v>
      </c>
      <c r="H21" s="44" t="s">
        <v>92</v>
      </c>
      <c r="I21" s="45">
        <v>1.5</v>
      </c>
      <c r="J21" s="48">
        <v>0.5</v>
      </c>
      <c r="K21" s="48">
        <v>0.5</v>
      </c>
      <c r="L21" s="48">
        <v>0.5</v>
      </c>
    </row>
    <row r="22" spans="1:12" ht="32.25" hidden="1" customHeight="1" x14ac:dyDescent="0.2">
      <c r="A22" s="117"/>
      <c r="B22" s="47" t="s">
        <v>28</v>
      </c>
      <c r="C22" s="98" t="s">
        <v>57</v>
      </c>
      <c r="D22" s="42">
        <v>44201</v>
      </c>
      <c r="E22" s="42">
        <v>44204</v>
      </c>
      <c r="F22" s="43" t="s">
        <v>75</v>
      </c>
      <c r="G22" s="42" t="s">
        <v>91</v>
      </c>
      <c r="H22" s="44" t="s">
        <v>67</v>
      </c>
      <c r="I22" s="45">
        <v>0</v>
      </c>
      <c r="J22" s="48">
        <v>0</v>
      </c>
      <c r="K22" s="48">
        <v>0</v>
      </c>
      <c r="L22" s="48">
        <v>0</v>
      </c>
    </row>
    <row r="23" spans="1:12" ht="35.25" customHeight="1" x14ac:dyDescent="0.2">
      <c r="A23" s="117"/>
      <c r="B23" s="40" t="s">
        <v>28</v>
      </c>
      <c r="C23" s="99" t="s">
        <v>58</v>
      </c>
      <c r="D23" s="42">
        <v>44201</v>
      </c>
      <c r="E23" s="42">
        <v>44204</v>
      </c>
      <c r="F23" s="43" t="s">
        <v>75</v>
      </c>
      <c r="G23" s="42" t="s">
        <v>91</v>
      </c>
      <c r="H23" s="44" t="s">
        <v>92</v>
      </c>
      <c r="I23" s="45">
        <v>0.75</v>
      </c>
      <c r="J23" s="48">
        <v>0.25</v>
      </c>
      <c r="K23" s="48">
        <v>0.25</v>
      </c>
      <c r="L23" s="48">
        <v>0.25</v>
      </c>
    </row>
    <row r="24" spans="1:12" ht="33" customHeight="1" x14ac:dyDescent="0.2">
      <c r="A24" s="117"/>
      <c r="B24" s="40" t="s">
        <v>29</v>
      </c>
      <c r="C24" s="99" t="s">
        <v>59</v>
      </c>
      <c r="D24" s="42">
        <v>44201</v>
      </c>
      <c r="E24" s="42">
        <v>44204</v>
      </c>
      <c r="F24" s="43" t="s">
        <v>75</v>
      </c>
      <c r="G24" s="42" t="s">
        <v>70</v>
      </c>
      <c r="H24" s="44" t="s">
        <v>92</v>
      </c>
      <c r="I24" s="45">
        <v>1.5</v>
      </c>
      <c r="J24" s="48">
        <v>0.5</v>
      </c>
      <c r="K24" s="48">
        <v>0.5</v>
      </c>
      <c r="L24" s="48">
        <v>0.5</v>
      </c>
    </row>
    <row r="25" spans="1:12" ht="35.25" customHeight="1" x14ac:dyDescent="0.2">
      <c r="A25" s="117"/>
      <c r="B25" s="40" t="s">
        <v>30</v>
      </c>
      <c r="C25" s="99" t="s">
        <v>60</v>
      </c>
      <c r="D25" s="42">
        <v>44201</v>
      </c>
      <c r="E25" s="42">
        <v>44204</v>
      </c>
      <c r="F25" s="43" t="s">
        <v>75</v>
      </c>
      <c r="G25" s="42" t="s">
        <v>70</v>
      </c>
      <c r="H25" s="44" t="s">
        <v>92</v>
      </c>
      <c r="I25" s="45">
        <v>0.75</v>
      </c>
      <c r="J25" s="48">
        <v>0.25</v>
      </c>
      <c r="K25" s="48">
        <v>0.25</v>
      </c>
      <c r="L25" s="48">
        <v>0.25</v>
      </c>
    </row>
    <row r="26" spans="1:12" ht="35.25" customHeight="1" x14ac:dyDescent="0.2">
      <c r="A26" s="117"/>
      <c r="B26" s="40" t="s">
        <v>31</v>
      </c>
      <c r="C26" s="99" t="s">
        <v>61</v>
      </c>
      <c r="D26" s="42">
        <v>44201</v>
      </c>
      <c r="E26" s="42">
        <v>44204</v>
      </c>
      <c r="F26" s="43" t="s">
        <v>75</v>
      </c>
      <c r="G26" s="42" t="s">
        <v>70</v>
      </c>
      <c r="H26" s="44" t="s">
        <v>92</v>
      </c>
      <c r="I26" s="45">
        <v>0.75</v>
      </c>
      <c r="J26" s="48">
        <v>0.25</v>
      </c>
      <c r="K26" s="48">
        <v>0.25</v>
      </c>
      <c r="L26" s="48">
        <v>0.25</v>
      </c>
    </row>
    <row r="27" spans="1:12" ht="34.5" customHeight="1" x14ac:dyDescent="0.2">
      <c r="A27" s="117"/>
      <c r="B27" s="47" t="s">
        <v>32</v>
      </c>
      <c r="C27" s="99" t="s">
        <v>62</v>
      </c>
      <c r="D27" s="42">
        <v>44201</v>
      </c>
      <c r="E27" s="42">
        <v>44204</v>
      </c>
      <c r="F27" s="43" t="s">
        <v>75</v>
      </c>
      <c r="G27" s="42" t="s">
        <v>70</v>
      </c>
      <c r="H27" s="44" t="s">
        <v>92</v>
      </c>
      <c r="I27" s="45">
        <v>8.25</v>
      </c>
      <c r="J27" s="48">
        <v>2.75</v>
      </c>
      <c r="K27" s="48">
        <v>2.75</v>
      </c>
      <c r="L27" s="48">
        <v>2.75</v>
      </c>
    </row>
    <row r="28" spans="1:12" ht="35.25" customHeight="1" x14ac:dyDescent="0.2">
      <c r="A28" s="117"/>
      <c r="B28" s="40" t="s">
        <v>33</v>
      </c>
      <c r="C28" s="99" t="s">
        <v>63</v>
      </c>
      <c r="D28" s="42">
        <v>44201</v>
      </c>
      <c r="E28" s="42">
        <v>44204</v>
      </c>
      <c r="F28" s="43" t="s">
        <v>75</v>
      </c>
      <c r="G28" s="42" t="s">
        <v>86</v>
      </c>
      <c r="H28" s="44" t="s">
        <v>92</v>
      </c>
      <c r="I28" s="45">
        <v>1.5</v>
      </c>
      <c r="J28" s="48">
        <v>0.5</v>
      </c>
      <c r="K28" s="48">
        <v>0.5</v>
      </c>
      <c r="L28" s="48">
        <v>0.5</v>
      </c>
    </row>
    <row r="29" spans="1:12" ht="29.25" customHeight="1" x14ac:dyDescent="0.2">
      <c r="A29" s="116"/>
      <c r="B29" s="47"/>
      <c r="C29" s="99"/>
      <c r="D29" s="42"/>
      <c r="E29" s="42"/>
      <c r="F29" s="43"/>
      <c r="G29" s="42"/>
      <c r="H29" s="44"/>
      <c r="I29" s="45"/>
      <c r="J29" s="48"/>
      <c r="K29" s="48"/>
      <c r="L29" s="48"/>
    </row>
    <row r="30" spans="1:12" ht="20.25" customHeight="1" x14ac:dyDescent="0.2">
      <c r="A30" s="117"/>
      <c r="B30" s="47"/>
      <c r="C30" s="49"/>
      <c r="D30" s="42"/>
      <c r="E30" s="42"/>
      <c r="F30" s="43"/>
      <c r="G30" s="42"/>
      <c r="H30" s="44"/>
      <c r="I30" s="45"/>
      <c r="J30" s="48"/>
      <c r="K30" s="48"/>
      <c r="L30" s="48"/>
    </row>
    <row r="31" spans="1:12" ht="20.25" customHeight="1" x14ac:dyDescent="0.2">
      <c r="A31" s="117"/>
      <c r="B31" s="47"/>
      <c r="C31" s="49"/>
      <c r="D31" s="42"/>
      <c r="E31" s="42"/>
      <c r="F31" s="43"/>
      <c r="G31" s="42"/>
      <c r="H31" s="44"/>
      <c r="I31" s="45"/>
      <c r="J31" s="48"/>
      <c r="K31" s="48"/>
      <c r="L31" s="48"/>
    </row>
    <row r="32" spans="1:12" ht="20.25" customHeight="1" x14ac:dyDescent="0.2">
      <c r="A32" s="117"/>
      <c r="B32" s="47"/>
      <c r="C32" s="49"/>
      <c r="D32" s="42"/>
      <c r="E32" s="42"/>
      <c r="F32" s="43"/>
      <c r="G32" s="42"/>
      <c r="H32" s="44"/>
      <c r="I32" s="45"/>
      <c r="J32" s="48"/>
      <c r="K32" s="48"/>
      <c r="L32" s="48"/>
    </row>
    <row r="33" spans="1:12" ht="20.25" customHeight="1" x14ac:dyDescent="0.2">
      <c r="A33" s="117"/>
      <c r="B33" s="47"/>
      <c r="C33" s="49"/>
      <c r="D33" s="42"/>
      <c r="E33" s="42"/>
      <c r="F33" s="43"/>
      <c r="G33" s="42"/>
      <c r="H33" s="44"/>
      <c r="I33" s="45"/>
      <c r="J33" s="48"/>
      <c r="K33" s="48"/>
      <c r="L33" s="48"/>
    </row>
    <row r="34" spans="1:12" ht="20.25" customHeight="1" x14ac:dyDescent="0.2">
      <c r="A34" s="117"/>
      <c r="B34" s="47"/>
      <c r="C34" s="49"/>
      <c r="D34" s="42"/>
      <c r="E34" s="42"/>
      <c r="F34" s="43"/>
      <c r="G34" s="42"/>
      <c r="H34" s="44"/>
      <c r="I34" s="45"/>
      <c r="J34" s="48"/>
      <c r="K34" s="48"/>
      <c r="L34" s="48"/>
    </row>
    <row r="35" spans="1:12" ht="14.25" customHeight="1" x14ac:dyDescent="0.2">
      <c r="A35" s="134"/>
      <c r="B35" s="47"/>
      <c r="C35" s="49"/>
      <c r="D35" s="42"/>
      <c r="E35" s="42"/>
      <c r="F35" s="43"/>
      <c r="G35" s="42"/>
      <c r="H35" s="44"/>
      <c r="I35" s="45"/>
      <c r="J35" s="48"/>
      <c r="K35" s="48"/>
      <c r="L35" s="48"/>
    </row>
    <row r="36" spans="1:12" ht="21" customHeight="1" x14ac:dyDescent="0.2">
      <c r="A36" s="116"/>
      <c r="B36" s="47"/>
      <c r="C36" s="49"/>
      <c r="D36" s="42"/>
      <c r="E36" s="42"/>
      <c r="F36" s="66"/>
      <c r="G36" s="42"/>
      <c r="H36" s="44"/>
      <c r="I36" s="45"/>
      <c r="J36" s="48"/>
      <c r="K36" s="48"/>
      <c r="L36" s="48"/>
    </row>
    <row r="37" spans="1:12" ht="21.75" customHeight="1" x14ac:dyDescent="0.2">
      <c r="A37" s="117"/>
      <c r="B37" s="47"/>
      <c r="C37" s="49"/>
      <c r="D37" s="42"/>
      <c r="E37" s="42"/>
      <c r="F37" s="66"/>
      <c r="G37" s="42"/>
      <c r="H37" s="44"/>
      <c r="I37" s="45"/>
      <c r="J37" s="48"/>
      <c r="K37" s="48"/>
      <c r="L37" s="48"/>
    </row>
    <row r="38" spans="1:12" ht="21.75" customHeight="1" x14ac:dyDescent="0.2">
      <c r="A38" s="117"/>
      <c r="B38" s="47"/>
      <c r="C38" s="49"/>
      <c r="D38" s="42"/>
      <c r="E38" s="42"/>
      <c r="F38" s="66"/>
      <c r="G38" s="42"/>
      <c r="H38" s="44"/>
      <c r="I38" s="45"/>
      <c r="J38" s="48"/>
      <c r="K38" s="48"/>
      <c r="L38" s="48"/>
    </row>
    <row r="39" spans="1:12" ht="21.75" customHeight="1" x14ac:dyDescent="0.2">
      <c r="A39" s="117"/>
      <c r="B39" s="47"/>
      <c r="C39" s="49"/>
      <c r="D39" s="42"/>
      <c r="E39" s="42"/>
      <c r="F39" s="66"/>
      <c r="G39" s="42"/>
      <c r="H39" s="44"/>
      <c r="I39" s="45"/>
      <c r="J39" s="48"/>
      <c r="K39" s="48"/>
      <c r="L39" s="48"/>
    </row>
    <row r="40" spans="1:12" ht="21.75" customHeight="1" x14ac:dyDescent="0.2">
      <c r="A40" s="117"/>
      <c r="B40" s="47"/>
      <c r="C40" s="49"/>
      <c r="D40" s="42"/>
      <c r="E40" s="42"/>
      <c r="F40" s="66"/>
      <c r="G40" s="42"/>
      <c r="H40" s="44"/>
      <c r="I40" s="45"/>
      <c r="J40" s="48"/>
      <c r="K40" s="48"/>
      <c r="L40" s="48"/>
    </row>
    <row r="41" spans="1:12" ht="21.75" customHeight="1" x14ac:dyDescent="0.2">
      <c r="A41" s="117"/>
      <c r="B41" s="47"/>
      <c r="C41" s="49"/>
      <c r="D41" s="42"/>
      <c r="E41" s="42"/>
      <c r="F41" s="66"/>
      <c r="G41" s="42"/>
      <c r="H41" s="44"/>
      <c r="I41" s="45"/>
      <c r="J41" s="48"/>
      <c r="K41" s="48"/>
      <c r="L41" s="48"/>
    </row>
    <row r="42" spans="1:12" ht="21" customHeight="1" x14ac:dyDescent="0.2">
      <c r="A42" s="117"/>
      <c r="B42" s="47"/>
      <c r="C42" s="49"/>
      <c r="D42" s="42"/>
      <c r="E42" s="42"/>
      <c r="F42" s="66"/>
      <c r="G42" s="42"/>
      <c r="H42" s="44"/>
      <c r="I42" s="45"/>
      <c r="J42" s="48"/>
      <c r="K42" s="48"/>
      <c r="L42" s="48"/>
    </row>
    <row r="43" spans="1:12" ht="19.5" customHeight="1" x14ac:dyDescent="0.2">
      <c r="A43" s="116"/>
      <c r="B43" s="47"/>
      <c r="C43" s="49"/>
      <c r="D43" s="42"/>
      <c r="E43" s="42"/>
      <c r="F43" s="43"/>
      <c r="G43" s="42"/>
      <c r="H43" s="44"/>
      <c r="I43" s="45"/>
      <c r="J43" s="48"/>
      <c r="K43" s="48"/>
      <c r="L43" s="48"/>
    </row>
    <row r="44" spans="1:12" ht="17.25" customHeight="1" x14ac:dyDescent="0.2">
      <c r="A44" s="117"/>
      <c r="B44" s="47"/>
      <c r="C44" s="49"/>
      <c r="D44" s="42"/>
      <c r="E44" s="42"/>
      <c r="F44" s="43"/>
      <c r="G44" s="42"/>
      <c r="H44" s="44"/>
      <c r="I44" s="45"/>
      <c r="J44" s="48"/>
      <c r="K44" s="48"/>
      <c r="L44" s="48"/>
    </row>
    <row r="45" spans="1:12" ht="17.25" customHeight="1" x14ac:dyDescent="0.2">
      <c r="A45" s="117"/>
      <c r="B45" s="47"/>
      <c r="C45" s="49"/>
      <c r="D45" s="42"/>
      <c r="E45" s="42"/>
      <c r="F45" s="43"/>
      <c r="G45" s="42"/>
      <c r="H45" s="44"/>
      <c r="I45" s="45"/>
      <c r="J45" s="48"/>
      <c r="K45" s="48"/>
      <c r="L45" s="48"/>
    </row>
    <row r="46" spans="1:12" ht="17.25" customHeight="1" x14ac:dyDescent="0.2">
      <c r="A46" s="117"/>
      <c r="B46" s="47"/>
      <c r="C46" s="49"/>
      <c r="D46" s="42"/>
      <c r="E46" s="42"/>
      <c r="F46" s="43"/>
      <c r="G46" s="42"/>
      <c r="H46" s="44"/>
      <c r="I46" s="45"/>
      <c r="J46" s="48"/>
      <c r="K46" s="48"/>
      <c r="L46" s="48"/>
    </row>
    <row r="47" spans="1:12" ht="17.25" customHeight="1" x14ac:dyDescent="0.2">
      <c r="A47" s="117"/>
      <c r="B47" s="47"/>
      <c r="C47" s="49"/>
      <c r="D47" s="42"/>
      <c r="E47" s="42"/>
      <c r="F47" s="43"/>
      <c r="G47" s="42"/>
      <c r="H47" s="44"/>
      <c r="I47" s="45"/>
      <c r="J47" s="48"/>
      <c r="K47" s="48"/>
      <c r="L47" s="48"/>
    </row>
    <row r="48" spans="1:12" ht="17.25" customHeight="1" x14ac:dyDescent="0.2">
      <c r="A48" s="117"/>
      <c r="B48" s="47"/>
      <c r="C48" s="49"/>
      <c r="D48" s="42"/>
      <c r="E48" s="42"/>
      <c r="F48" s="43"/>
      <c r="G48" s="42"/>
      <c r="H48" s="44"/>
      <c r="I48" s="45"/>
      <c r="J48" s="48"/>
      <c r="K48" s="48"/>
      <c r="L48" s="48"/>
    </row>
    <row r="49" spans="1:12" ht="15.75" customHeight="1" x14ac:dyDescent="0.2">
      <c r="A49" s="117"/>
      <c r="B49" s="47"/>
      <c r="C49" s="49"/>
      <c r="D49" s="42"/>
      <c r="E49" s="42"/>
      <c r="F49" s="43"/>
      <c r="G49" s="42"/>
      <c r="H49" s="44"/>
      <c r="I49" s="45"/>
      <c r="J49" s="48"/>
      <c r="K49" s="48"/>
      <c r="L49" s="48"/>
    </row>
    <row r="50" spans="1:12" ht="18.75" customHeight="1" x14ac:dyDescent="0.2">
      <c r="A50" s="116"/>
      <c r="B50" s="47"/>
      <c r="C50" s="49"/>
      <c r="D50" s="42"/>
      <c r="E50" s="42"/>
      <c r="F50" s="43"/>
      <c r="G50" s="42"/>
      <c r="H50" s="44"/>
      <c r="I50" s="45"/>
      <c r="J50" s="48"/>
      <c r="K50" s="48"/>
      <c r="L50" s="48"/>
    </row>
    <row r="51" spans="1:12" ht="19.5" customHeight="1" x14ac:dyDescent="0.2">
      <c r="A51" s="117"/>
      <c r="B51" s="47"/>
      <c r="C51" s="49"/>
      <c r="D51" s="42"/>
      <c r="E51" s="42"/>
      <c r="F51" s="43"/>
      <c r="G51" s="42"/>
      <c r="H51" s="44"/>
      <c r="I51" s="45"/>
      <c r="J51" s="48"/>
      <c r="K51" s="48"/>
      <c r="L51" s="48"/>
    </row>
    <row r="52" spans="1:12" ht="19.5" customHeight="1" x14ac:dyDescent="0.2">
      <c r="A52" s="117"/>
      <c r="B52" s="47"/>
      <c r="C52" s="49"/>
      <c r="D52" s="42"/>
      <c r="E52" s="42"/>
      <c r="F52" s="43"/>
      <c r="G52" s="42"/>
      <c r="H52" s="44"/>
      <c r="I52" s="45"/>
      <c r="J52" s="48"/>
      <c r="K52" s="48"/>
      <c r="L52" s="48"/>
    </row>
    <row r="53" spans="1:12" ht="19.5" customHeight="1" x14ac:dyDescent="0.2">
      <c r="A53" s="117"/>
      <c r="B53" s="47"/>
      <c r="C53" s="49"/>
      <c r="D53" s="42"/>
      <c r="E53" s="42"/>
      <c r="F53" s="43"/>
      <c r="G53" s="42"/>
      <c r="H53" s="44"/>
      <c r="I53" s="45"/>
      <c r="J53" s="48"/>
      <c r="K53" s="48"/>
      <c r="L53" s="48"/>
    </row>
    <row r="54" spans="1:12" ht="19.5" customHeight="1" x14ac:dyDescent="0.2">
      <c r="A54" s="117"/>
      <c r="B54" s="47"/>
      <c r="C54" s="49"/>
      <c r="D54" s="42"/>
      <c r="E54" s="42"/>
      <c r="F54" s="43"/>
      <c r="G54" s="42"/>
      <c r="H54" s="44"/>
      <c r="I54" s="45"/>
      <c r="J54" s="48"/>
      <c r="K54" s="48"/>
      <c r="L54" s="48"/>
    </row>
    <row r="55" spans="1:12" ht="19.5" customHeight="1" x14ac:dyDescent="0.2">
      <c r="A55" s="117"/>
      <c r="B55" s="47"/>
      <c r="C55" s="49"/>
      <c r="D55" s="42"/>
      <c r="E55" s="42"/>
      <c r="F55" s="43"/>
      <c r="G55" s="42"/>
      <c r="H55" s="44"/>
      <c r="I55" s="45"/>
      <c r="J55" s="48"/>
      <c r="K55" s="48"/>
      <c r="L55" s="48"/>
    </row>
    <row r="56" spans="1:12" ht="20.25" customHeight="1" x14ac:dyDescent="0.2">
      <c r="A56" s="117"/>
      <c r="B56" s="47"/>
      <c r="C56" s="49"/>
      <c r="D56" s="42"/>
      <c r="E56" s="42"/>
      <c r="F56" s="43"/>
      <c r="G56" s="42"/>
      <c r="H56" s="44"/>
      <c r="I56" s="45"/>
      <c r="J56" s="48"/>
      <c r="K56" s="48"/>
      <c r="L56" s="48"/>
    </row>
    <row r="57" spans="1:12" ht="18" customHeight="1" x14ac:dyDescent="0.2">
      <c r="A57" s="116"/>
      <c r="B57" s="47"/>
      <c r="C57" s="49"/>
      <c r="D57" s="42"/>
      <c r="E57" s="42"/>
      <c r="F57" s="43"/>
      <c r="G57" s="42"/>
      <c r="H57" s="44"/>
      <c r="I57" s="45"/>
      <c r="J57" s="48"/>
      <c r="K57" s="48"/>
      <c r="L57" s="48"/>
    </row>
    <row r="58" spans="1:12" ht="17.25" customHeight="1" x14ac:dyDescent="0.2">
      <c r="A58" s="117"/>
      <c r="B58" s="47"/>
      <c r="C58" s="49"/>
      <c r="D58" s="42"/>
      <c r="E58" s="42"/>
      <c r="F58" s="43"/>
      <c r="G58" s="42"/>
      <c r="H58" s="44"/>
      <c r="I58" s="45"/>
      <c r="J58" s="48"/>
      <c r="K58" s="48"/>
      <c r="L58" s="48"/>
    </row>
    <row r="59" spans="1:12" ht="17.25" customHeight="1" x14ac:dyDescent="0.2">
      <c r="A59" s="117"/>
      <c r="B59" s="47"/>
      <c r="C59" s="49"/>
      <c r="D59" s="42"/>
      <c r="E59" s="42"/>
      <c r="F59" s="43"/>
      <c r="G59" s="42"/>
      <c r="H59" s="44"/>
      <c r="I59" s="45"/>
      <c r="J59" s="48"/>
      <c r="K59" s="48"/>
      <c r="L59" s="48"/>
    </row>
    <row r="60" spans="1:12" ht="17.25" customHeight="1" x14ac:dyDescent="0.2">
      <c r="A60" s="117"/>
      <c r="B60" s="47"/>
      <c r="C60" s="49"/>
      <c r="D60" s="42"/>
      <c r="E60" s="42"/>
      <c r="F60" s="43"/>
      <c r="G60" s="42"/>
      <c r="H60" s="44"/>
      <c r="I60" s="45"/>
      <c r="J60" s="48"/>
      <c r="K60" s="48"/>
      <c r="L60" s="48"/>
    </row>
    <row r="61" spans="1:12" ht="17.25" customHeight="1" x14ac:dyDescent="0.2">
      <c r="A61" s="117"/>
      <c r="B61" s="47"/>
      <c r="C61" s="49"/>
      <c r="D61" s="42"/>
      <c r="E61" s="42"/>
      <c r="F61" s="43"/>
      <c r="G61" s="42"/>
      <c r="H61" s="44"/>
      <c r="I61" s="45"/>
      <c r="J61" s="48"/>
      <c r="K61" s="48"/>
      <c r="L61" s="48"/>
    </row>
    <row r="62" spans="1:12" ht="17.25" customHeight="1" x14ac:dyDescent="0.2">
      <c r="A62" s="117"/>
      <c r="B62" s="47"/>
      <c r="C62" s="49"/>
      <c r="D62" s="42"/>
      <c r="E62" s="42"/>
      <c r="F62" s="43"/>
      <c r="G62" s="42"/>
      <c r="H62" s="44"/>
      <c r="I62" s="45"/>
      <c r="J62" s="48"/>
      <c r="K62" s="48"/>
      <c r="L62" s="48"/>
    </row>
    <row r="63" spans="1:12" ht="18.75" customHeight="1" x14ac:dyDescent="0.2">
      <c r="A63" s="117"/>
      <c r="B63" s="47"/>
      <c r="C63" s="49"/>
      <c r="D63" s="42"/>
      <c r="E63" s="42"/>
      <c r="F63" s="43"/>
      <c r="G63" s="42"/>
      <c r="H63" s="44"/>
      <c r="I63" s="45"/>
      <c r="J63" s="48"/>
      <c r="K63" s="48"/>
      <c r="L63" s="48"/>
    </row>
    <row r="64" spans="1:12" ht="18.75" customHeight="1" x14ac:dyDescent="0.2">
      <c r="A64" s="116"/>
      <c r="B64" s="47"/>
      <c r="C64" s="49"/>
      <c r="D64" s="42"/>
      <c r="E64" s="42"/>
      <c r="F64" s="43"/>
      <c r="G64" s="42"/>
      <c r="H64" s="44"/>
      <c r="I64" s="45"/>
      <c r="J64" s="48"/>
      <c r="K64" s="48"/>
      <c r="L64" s="48"/>
    </row>
    <row r="65" spans="1:12" ht="18.75" customHeight="1" x14ac:dyDescent="0.2">
      <c r="A65" s="117"/>
      <c r="B65" s="47"/>
      <c r="C65" s="49"/>
      <c r="D65" s="42"/>
      <c r="E65" s="42"/>
      <c r="F65" s="43"/>
      <c r="G65" s="42"/>
      <c r="H65" s="44"/>
      <c r="I65" s="45"/>
      <c r="J65" s="48"/>
      <c r="K65" s="48"/>
      <c r="L65" s="48"/>
    </row>
    <row r="66" spans="1:12" ht="18.75" customHeight="1" x14ac:dyDescent="0.2">
      <c r="A66" s="117"/>
      <c r="B66" s="47"/>
      <c r="C66" s="49"/>
      <c r="D66" s="42"/>
      <c r="E66" s="42"/>
      <c r="F66" s="43"/>
      <c r="G66" s="42"/>
      <c r="H66" s="44"/>
      <c r="I66" s="45"/>
      <c r="J66" s="48"/>
      <c r="K66" s="48"/>
      <c r="L66" s="48"/>
    </row>
    <row r="67" spans="1:12" ht="18.75" customHeight="1" x14ac:dyDescent="0.2">
      <c r="A67" s="117"/>
      <c r="B67" s="47"/>
      <c r="C67" s="49"/>
      <c r="D67" s="42"/>
      <c r="E67" s="42"/>
      <c r="F67" s="43"/>
      <c r="G67" s="42"/>
      <c r="H67" s="44"/>
      <c r="I67" s="45"/>
      <c r="J67" s="48"/>
      <c r="K67" s="48"/>
      <c r="L67" s="48"/>
    </row>
    <row r="68" spans="1:12" ht="18" customHeight="1" x14ac:dyDescent="0.2">
      <c r="A68" s="117"/>
      <c r="B68" s="47"/>
      <c r="C68" s="49"/>
      <c r="D68" s="42"/>
      <c r="E68" s="42"/>
      <c r="F68" s="43"/>
      <c r="G68" s="42"/>
      <c r="H68" s="44"/>
      <c r="I68" s="45"/>
      <c r="J68" s="48"/>
      <c r="K68" s="48"/>
      <c r="L68" s="48"/>
    </row>
    <row r="69" spans="1:12" ht="18" customHeight="1" x14ac:dyDescent="0.2">
      <c r="A69" s="117"/>
      <c r="B69" s="47"/>
      <c r="C69" s="49"/>
      <c r="D69" s="42"/>
      <c r="E69" s="42"/>
      <c r="F69" s="43"/>
      <c r="G69" s="42"/>
      <c r="H69" s="44"/>
      <c r="I69" s="45"/>
      <c r="J69" s="48"/>
      <c r="K69" s="48"/>
      <c r="L69" s="48"/>
    </row>
    <row r="70" spans="1:12" ht="24" customHeight="1" x14ac:dyDescent="0.2">
      <c r="A70" s="134"/>
      <c r="B70" s="47"/>
      <c r="C70" s="49"/>
      <c r="D70" s="42"/>
      <c r="E70" s="42"/>
      <c r="F70" s="43"/>
      <c r="G70" s="42"/>
      <c r="H70" s="44"/>
      <c r="I70" s="45"/>
      <c r="J70" s="48"/>
      <c r="K70" s="48"/>
      <c r="L70" s="48"/>
    </row>
    <row r="71" spans="1:12" ht="24" customHeight="1" x14ac:dyDescent="0.2">
      <c r="A71" s="50"/>
      <c r="B71" s="51"/>
      <c r="C71" s="52"/>
      <c r="D71" s="53"/>
      <c r="E71" s="53"/>
      <c r="F71" s="53"/>
      <c r="G71" s="53"/>
      <c r="H71" s="54"/>
      <c r="I71" s="55"/>
      <c r="J71" s="55"/>
      <c r="K71" s="55"/>
      <c r="L71" s="55"/>
    </row>
    <row r="73" spans="1:12" ht="53.25" customHeight="1" x14ac:dyDescent="0.2"/>
    <row r="74" spans="1:12" ht="42" customHeight="1" x14ac:dyDescent="0.2"/>
    <row r="75" spans="1:12" ht="42" customHeight="1" x14ac:dyDescent="0.2"/>
    <row r="76" spans="1:12" ht="21.75" customHeight="1" x14ac:dyDescent="0.2"/>
    <row r="77" spans="1:12" ht="18.75" customHeight="1" x14ac:dyDescent="0.2"/>
    <row r="78" spans="1:12" ht="21.75" customHeight="1" x14ac:dyDescent="0.2"/>
    <row r="79" spans="1:12" ht="18.75" customHeight="1" x14ac:dyDescent="0.2"/>
    <row r="80" spans="1:12" ht="18" customHeight="1" x14ac:dyDescent="0.2"/>
    <row r="81" ht="21" customHeight="1" x14ac:dyDescent="0.2"/>
    <row r="82" ht="16.5" customHeight="1" x14ac:dyDescent="0.2"/>
    <row r="83" ht="19.5" customHeight="1" x14ac:dyDescent="0.2"/>
    <row r="84" ht="19.5" customHeight="1" x14ac:dyDescent="0.2"/>
    <row r="85" ht="18.75" customHeight="1" x14ac:dyDescent="0.2"/>
    <row r="86" ht="11.25" customHeight="1" x14ac:dyDescent="0.2"/>
    <row r="87" ht="11.25" customHeight="1" x14ac:dyDescent="0.2"/>
    <row r="104" ht="17.25" customHeight="1" x14ac:dyDescent="0.2"/>
    <row r="105" ht="21" customHeight="1" x14ac:dyDescent="0.2"/>
    <row r="106" ht="21" customHeight="1" x14ac:dyDescent="0.2"/>
    <row r="107" ht="22.5" customHeight="1" x14ac:dyDescent="0.2"/>
  </sheetData>
  <mergeCells count="19">
    <mergeCell ref="A43:A49"/>
    <mergeCell ref="A50:A56"/>
    <mergeCell ref="A57:A63"/>
    <mergeCell ref="A64:A70"/>
    <mergeCell ref="A4:K4"/>
    <mergeCell ref="A5:A12"/>
    <mergeCell ref="A13:A20"/>
    <mergeCell ref="A21:A28"/>
    <mergeCell ref="A29:A35"/>
    <mergeCell ref="A36:A42"/>
    <mergeCell ref="A1:K1"/>
    <mergeCell ref="A2:A3"/>
    <mergeCell ref="B2:B3"/>
    <mergeCell ref="C2:C3"/>
    <mergeCell ref="D2:D3"/>
    <mergeCell ref="E2:E3"/>
    <mergeCell ref="F2:F3"/>
    <mergeCell ref="G2:G3"/>
    <mergeCell ref="H2:H3"/>
  </mergeCells>
  <dataValidations count="9">
    <dataValidation type="decimal" operator="lessThanOrEqual" showInputMessage="1" showErrorMessage="1" sqref="J6" xr:uid="{00000000-0002-0000-0400-000000000000}">
      <formula1>I6</formula1>
    </dataValidation>
    <dataValidation type="list" allowBlank="1" showInputMessage="1" showErrorMessage="1" sqref="G5:G29" xr:uid="{00000000-0002-0000-0400-000001000000}">
      <formula1>"Build, Unit Test, System Test, Coding, General , Integration,Regression Testing"</formula1>
    </dataValidation>
    <dataValidation type="decimal" operator="lessThanOrEqual" allowBlank="1" showInputMessage="1" showErrorMessage="1" sqref="J5 K5:L71 J7:J71" xr:uid="{00000000-0002-0000-0400-000002000000}">
      <formula1>I5</formula1>
    </dataValidation>
    <dataValidation type="list" allowBlank="1" showInputMessage="1" showErrorMessage="1" sqref="H108:H65538 H71" xr:uid="{00000000-0002-0000-0400-000003000000}">
      <formula1>Status</formula1>
    </dataValidation>
    <dataValidation type="list" allowBlank="1" showInputMessage="1" showErrorMessage="1" sqref="G30:G71" xr:uid="{00000000-0002-0000-0400-000004000000}">
      <formula1>"Build, Unit Test, System Test, Coding, General , Integration"</formula1>
    </dataValidation>
    <dataValidation type="list" allowBlank="1" showInputMessage="1" showErrorMessage="1" sqref="G108:G65538" xr:uid="{00000000-0002-0000-0400-000005000000}">
      <formula1>Category</formula1>
    </dataValidation>
    <dataValidation type="list" allowBlank="1" showInputMessage="1" showErrorMessage="1" sqref="F108:F65538" xr:uid="{00000000-0002-0000-0400-000006000000}">
      <formula1>Team</formula1>
    </dataValidation>
    <dataValidation type="decimal" allowBlank="1" showInputMessage="1" showErrorMessage="1" sqref="I5:I70" xr:uid="{00000000-0002-0000-0400-000007000000}">
      <formula1>0</formula1>
      <formula2>12</formula2>
    </dataValidation>
    <dataValidation type="list" allowBlank="1" showInputMessage="1" showErrorMessage="1" sqref="H5:H70" xr:uid="{00000000-0002-0000-0400-000008000000}">
      <formula1>"1- Not Started, 2- In Progress, 3- Completed"</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topLeftCell="E1" zoomScale="80" workbookViewId="0">
      <selection activeCell="I2" sqref="I2:I5"/>
    </sheetView>
  </sheetViews>
  <sheetFormatPr defaultRowHeight="12.75" x14ac:dyDescent="0.2"/>
  <cols>
    <col min="1" max="1" width="6.85546875" style="1" customWidth="1"/>
    <col min="2" max="4" width="12.28515625" style="15" customWidth="1"/>
    <col min="5" max="5" width="20.28515625" style="1" customWidth="1"/>
    <col min="6" max="6" width="75" style="15" customWidth="1"/>
    <col min="7" max="7" width="20.5703125" style="16" customWidth="1"/>
    <col min="8" max="8" width="56.85546875" style="1" customWidth="1"/>
    <col min="9" max="9" width="30.42578125" style="1" customWidth="1"/>
    <col min="10" max="16384" width="9.140625" style="1"/>
  </cols>
  <sheetData>
    <row r="1" spans="1:9" s="14" customFormat="1" ht="45.75" customHeight="1" x14ac:dyDescent="0.2">
      <c r="A1" s="13" t="s">
        <v>10</v>
      </c>
      <c r="B1" s="13" t="s">
        <v>21</v>
      </c>
      <c r="C1" s="13" t="s">
        <v>22</v>
      </c>
      <c r="D1" s="13" t="s">
        <v>45</v>
      </c>
      <c r="E1" s="13" t="s">
        <v>25</v>
      </c>
      <c r="F1" s="13" t="s">
        <v>20</v>
      </c>
      <c r="G1" s="13" t="s">
        <v>23</v>
      </c>
      <c r="H1" s="13" t="s">
        <v>24</v>
      </c>
      <c r="I1" s="13" t="s">
        <v>44</v>
      </c>
    </row>
    <row r="2" spans="1:9" s="22" customFormat="1" ht="30.75" customHeight="1" x14ac:dyDescent="0.2">
      <c r="A2" s="19"/>
      <c r="B2" s="19"/>
      <c r="C2" s="94"/>
      <c r="D2" s="94"/>
      <c r="E2" s="23"/>
      <c r="F2" s="19"/>
      <c r="G2" s="21"/>
      <c r="H2" s="23"/>
      <c r="I2" s="23"/>
    </row>
    <row r="3" spans="1:9" s="22" customFormat="1" ht="25.5" customHeight="1" x14ac:dyDescent="0.2">
      <c r="A3" s="19"/>
      <c r="B3" s="19"/>
      <c r="C3" s="94"/>
      <c r="D3" s="94"/>
      <c r="E3" s="23"/>
      <c r="F3" s="19"/>
      <c r="G3" s="20"/>
      <c r="H3" s="23"/>
      <c r="I3" s="23"/>
    </row>
    <row r="4" spans="1:9" s="22" customFormat="1" ht="27.75" customHeight="1" x14ac:dyDescent="0.2">
      <c r="A4" s="19"/>
      <c r="B4" s="19"/>
      <c r="C4" s="94"/>
      <c r="D4" s="94"/>
      <c r="E4" s="23"/>
      <c r="F4" s="19"/>
      <c r="G4" s="20"/>
      <c r="H4" s="23"/>
      <c r="I4" s="23"/>
    </row>
    <row r="5" spans="1:9" s="22" customFormat="1" ht="24.75" customHeight="1" x14ac:dyDescent="0.2">
      <c r="A5" s="19"/>
      <c r="B5" s="19"/>
      <c r="C5" s="94"/>
      <c r="D5" s="94"/>
      <c r="E5" s="23"/>
      <c r="F5" s="19"/>
      <c r="G5" s="20"/>
      <c r="H5" s="23"/>
      <c r="I5" s="23"/>
    </row>
    <row r="6" spans="1:9" s="22" customFormat="1" ht="27" customHeight="1" x14ac:dyDescent="0.2">
      <c r="A6" s="19"/>
      <c r="B6" s="19"/>
      <c r="C6" s="94"/>
      <c r="D6" s="94"/>
      <c r="E6" s="23"/>
      <c r="F6" s="19"/>
      <c r="G6" s="20"/>
      <c r="H6" s="23"/>
      <c r="I6" s="23"/>
    </row>
    <row r="7" spans="1:9" s="22" customFormat="1" ht="24" customHeight="1" x14ac:dyDescent="0.2">
      <c r="A7" s="19"/>
      <c r="B7" s="19"/>
      <c r="C7" s="94"/>
      <c r="D7" s="94"/>
      <c r="E7" s="23"/>
      <c r="F7" s="19"/>
      <c r="G7" s="20"/>
      <c r="H7" s="23"/>
      <c r="I7" s="23"/>
    </row>
    <row r="8" spans="1:9" s="22" customFormat="1" ht="30.75" customHeight="1" x14ac:dyDescent="0.2">
      <c r="A8" s="19"/>
      <c r="B8" s="19"/>
      <c r="C8" s="94"/>
      <c r="D8" s="94"/>
      <c r="E8" s="23"/>
      <c r="F8" s="19"/>
      <c r="G8" s="21"/>
      <c r="H8" s="23"/>
      <c r="I8" s="23"/>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topLeftCell="A3" workbookViewId="0">
      <selection activeCell="D5" sqref="D5"/>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37" t="s">
        <v>40</v>
      </c>
      <c r="D2" s="137"/>
      <c r="E2" s="137"/>
    </row>
    <row r="3" spans="1:10" x14ac:dyDescent="0.2">
      <c r="C3" s="138"/>
      <c r="D3" s="138"/>
      <c r="E3" s="138"/>
      <c r="F3" s="27"/>
      <c r="G3" s="27"/>
      <c r="H3" s="27"/>
      <c r="I3" s="27"/>
    </row>
    <row r="4" spans="1:10" s="6" customFormat="1" ht="33.75" customHeight="1" x14ac:dyDescent="0.2">
      <c r="B4" s="2" t="s">
        <v>36</v>
      </c>
      <c r="C4" s="2" t="s">
        <v>39</v>
      </c>
      <c r="D4" s="2" t="s">
        <v>18</v>
      </c>
      <c r="E4" s="2" t="s">
        <v>19</v>
      </c>
      <c r="F4"/>
      <c r="G4" s="139" t="s">
        <v>35</v>
      </c>
      <c r="H4" s="139"/>
      <c r="I4" s="139"/>
      <c r="J4" s="28"/>
    </row>
    <row r="5" spans="1:10" s="6" customFormat="1" ht="15.75" customHeight="1" x14ac:dyDescent="0.2">
      <c r="B5" s="136">
        <v>1</v>
      </c>
      <c r="C5" s="3">
        <v>0</v>
      </c>
      <c r="D5" s="3">
        <f>'Sprint I Backlog'!I3</f>
        <v>22</v>
      </c>
      <c r="E5" s="3">
        <f>E6+E7</f>
        <v>22</v>
      </c>
      <c r="F5"/>
      <c r="G5" s="140"/>
      <c r="H5" s="140"/>
      <c r="I5" s="140"/>
      <c r="J5" s="28"/>
    </row>
    <row r="6" spans="1:10" ht="18.75" customHeight="1" x14ac:dyDescent="0.2">
      <c r="B6" s="136"/>
      <c r="C6" s="3">
        <v>1</v>
      </c>
      <c r="D6" s="3">
        <f>ROUND(D5-(D5/3),2)</f>
        <v>14.67</v>
      </c>
      <c r="E6" s="26">
        <f>IF(OR(Dashboard!L20="DAY 1"),NA(),'Sprint I Backlog'!J3)</f>
        <v>11</v>
      </c>
      <c r="G6" s="63" t="s">
        <v>36</v>
      </c>
      <c r="H6" s="63" t="s">
        <v>18</v>
      </c>
      <c r="I6" s="63" t="s">
        <v>19</v>
      </c>
      <c r="J6" s="4"/>
    </row>
    <row r="7" spans="1:10" ht="18.75" customHeight="1" x14ac:dyDescent="0.2">
      <c r="B7" s="136"/>
      <c r="C7" s="3">
        <v>2</v>
      </c>
      <c r="D7" s="3">
        <f>ROUND(D6-(D5/3),2)</f>
        <v>7.34</v>
      </c>
      <c r="E7" s="26">
        <f>IF(OR(Dashboard!L20="DAY 1",Dashboard!L20="DAY 2"),NA(),'Sprint I Backlog'!K3)</f>
        <v>11</v>
      </c>
      <c r="G7" s="64">
        <v>1</v>
      </c>
      <c r="H7" s="64">
        <f>D5</f>
        <v>22</v>
      </c>
      <c r="I7" s="65">
        <f>E5</f>
        <v>22</v>
      </c>
      <c r="J7" s="29"/>
    </row>
    <row r="8" spans="1:10" ht="18.75" customHeight="1" x14ac:dyDescent="0.2">
      <c r="B8" s="71"/>
      <c r="C8" s="72"/>
      <c r="D8" s="72"/>
      <c r="E8" s="29"/>
      <c r="G8" s="64">
        <v>2</v>
      </c>
      <c r="H8" s="64">
        <f>D14</f>
        <v>39</v>
      </c>
      <c r="I8" s="65">
        <f>E14</f>
        <v>26</v>
      </c>
      <c r="J8" s="29"/>
    </row>
    <row r="9" spans="1:10" ht="18.75" customHeight="1" x14ac:dyDescent="0.2">
      <c r="C9" s="137"/>
      <c r="D9" s="137"/>
      <c r="E9" s="137"/>
      <c r="G9" s="7"/>
      <c r="H9" s="7"/>
      <c r="I9" s="7"/>
      <c r="J9" s="7"/>
    </row>
    <row r="10" spans="1:10" x14ac:dyDescent="0.2">
      <c r="C10" s="137"/>
      <c r="D10" s="137"/>
      <c r="E10" s="137"/>
    </row>
    <row r="11" spans="1:10" x14ac:dyDescent="0.2">
      <c r="C11" s="137" t="s">
        <v>41</v>
      </c>
      <c r="D11" s="137"/>
      <c r="E11" s="137"/>
    </row>
    <row r="12" spans="1:10" x14ac:dyDescent="0.2">
      <c r="C12" s="138"/>
      <c r="D12" s="138"/>
      <c r="E12" s="138"/>
    </row>
    <row r="13" spans="1:10" ht="27" customHeight="1" x14ac:dyDescent="0.2">
      <c r="A13" s="6"/>
      <c r="B13" s="2" t="s">
        <v>36</v>
      </c>
      <c r="C13" s="2" t="s">
        <v>39</v>
      </c>
      <c r="D13" s="2" t="s">
        <v>18</v>
      </c>
      <c r="E13" s="2" t="s">
        <v>19</v>
      </c>
    </row>
    <row r="14" spans="1:10" ht="19.5" customHeight="1" x14ac:dyDescent="0.2">
      <c r="A14" s="6"/>
      <c r="B14" s="136">
        <v>2</v>
      </c>
      <c r="C14" s="3">
        <v>0</v>
      </c>
      <c r="D14" s="3">
        <f>'Sprint II Backlog'!I3</f>
        <v>39</v>
      </c>
      <c r="E14" s="3">
        <f>E15+E16</f>
        <v>26</v>
      </c>
    </row>
    <row r="15" spans="1:10" ht="18" customHeight="1" x14ac:dyDescent="0.2">
      <c r="B15" s="136"/>
      <c r="C15" s="3">
        <v>3</v>
      </c>
      <c r="D15" s="3">
        <f>ROUND(D14-(D14/3),2)</f>
        <v>26</v>
      </c>
      <c r="E15" s="26">
        <f>IF(OR(Dashboard!L20="DAY 1"),NA(),'Sprint II Backlog'!J3)</f>
        <v>13</v>
      </c>
    </row>
    <row r="16" spans="1:10" ht="17.25" customHeight="1" x14ac:dyDescent="0.2">
      <c r="B16" s="136"/>
      <c r="C16" s="3">
        <v>4</v>
      </c>
      <c r="D16" s="3">
        <f>ROUND(D15-(D14/3),2)</f>
        <v>13</v>
      </c>
      <c r="E16" s="26">
        <f>IF(OR(Dashboard!L20="DAY 1",Dashboard!L20="DAY 2"),NA(),'Sprint II Backlog'!K3)</f>
        <v>13</v>
      </c>
    </row>
    <row r="17" spans="2:10" ht="20.25" customHeight="1" x14ac:dyDescent="0.2">
      <c r="B17" s="71"/>
      <c r="C17" s="72"/>
      <c r="D17" s="72"/>
      <c r="E17" s="29"/>
    </row>
    <row r="18" spans="2:10" x14ac:dyDescent="0.2">
      <c r="C18" s="137"/>
      <c r="D18" s="137"/>
      <c r="E18" s="137"/>
      <c r="F18" s="7"/>
      <c r="G18" s="7"/>
      <c r="H18" s="7"/>
      <c r="I18" s="7"/>
      <c r="J18" s="7"/>
    </row>
    <row r="19" spans="2:10" x14ac:dyDescent="0.2">
      <c r="C19" s="137"/>
      <c r="D19" s="137"/>
      <c r="E19" s="137"/>
      <c r="F19" s="7"/>
      <c r="G19" s="7"/>
      <c r="H19" s="7"/>
      <c r="I19" s="7"/>
      <c r="J19" s="7"/>
    </row>
    <row r="20" spans="2:10" x14ac:dyDescent="0.2">
      <c r="G20" s="7"/>
      <c r="H20" s="7"/>
      <c r="I20" s="7"/>
      <c r="J20" s="7"/>
    </row>
    <row r="26" spans="2:10" x14ac:dyDescent="0.2">
      <c r="F26" s="7"/>
      <c r="G26" s="7"/>
      <c r="H26" s="7"/>
      <c r="I26" s="7"/>
      <c r="J26" s="7"/>
    </row>
    <row r="27" spans="2:10" x14ac:dyDescent="0.2">
      <c r="F27" s="7"/>
      <c r="G27" s="7"/>
      <c r="H27" s="7"/>
      <c r="I27" s="7"/>
      <c r="J27" s="7"/>
    </row>
    <row r="28" spans="2:10" x14ac:dyDescent="0.2">
      <c r="F28" s="7"/>
      <c r="G28" s="7"/>
      <c r="H28" s="7"/>
      <c r="I28" s="7"/>
      <c r="J28" s="7"/>
    </row>
    <row r="29" spans="2:10" x14ac:dyDescent="0.2">
      <c r="F29" s="7"/>
      <c r="G29" s="7"/>
      <c r="H29" s="7"/>
      <c r="I29" s="7"/>
      <c r="J29" s="7"/>
    </row>
    <row r="30" spans="2:10" x14ac:dyDescent="0.2">
      <c r="F30" s="7"/>
      <c r="G30" s="7"/>
      <c r="H30" s="7"/>
      <c r="I30" s="7"/>
      <c r="J30" s="7"/>
    </row>
    <row r="31" spans="2:10" x14ac:dyDescent="0.2">
      <c r="F31" s="7"/>
      <c r="G31" s="7"/>
      <c r="H31" s="7"/>
      <c r="I31" s="7"/>
      <c r="J31" s="7"/>
    </row>
    <row r="32" spans="2: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row r="228" spans="6:10" x14ac:dyDescent="0.2">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30"/>
  <sheetViews>
    <sheetView showGridLines="0" tabSelected="1" workbookViewId="0">
      <pane ySplit="1" topLeftCell="A15" activePane="bottomLeft" state="frozen"/>
      <selection pane="bottomLeft" activeCell="N12" sqref="N12"/>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35" t="s">
        <v>46</v>
      </c>
      <c r="B1" s="35" t="s">
        <v>1</v>
      </c>
      <c r="C1" s="35" t="s">
        <v>39</v>
      </c>
      <c r="D1" s="35" t="s">
        <v>50</v>
      </c>
      <c r="E1" s="35" t="s">
        <v>49</v>
      </c>
      <c r="F1" s="35" t="s">
        <v>47</v>
      </c>
      <c r="G1" s="35" t="s">
        <v>48</v>
      </c>
      <c r="H1" s="31"/>
      <c r="I1" s="31"/>
      <c r="J1" s="31"/>
    </row>
    <row r="2" spans="1:10" ht="25.5" x14ac:dyDescent="0.2">
      <c r="A2" s="32">
        <v>1</v>
      </c>
      <c r="B2" s="32">
        <v>1</v>
      </c>
      <c r="C2" s="32">
        <v>1</v>
      </c>
      <c r="D2" s="33" t="s">
        <v>76</v>
      </c>
      <c r="E2" s="33" t="s">
        <v>105</v>
      </c>
      <c r="F2" s="100" t="s">
        <v>77</v>
      </c>
      <c r="G2" s="33" t="s">
        <v>78</v>
      </c>
    </row>
    <row r="3" spans="1:10" ht="25.5" x14ac:dyDescent="0.2">
      <c r="A3" s="32">
        <v>1</v>
      </c>
      <c r="B3" s="32">
        <v>1</v>
      </c>
      <c r="C3" s="32">
        <v>1</v>
      </c>
      <c r="D3" s="33" t="s">
        <v>76</v>
      </c>
      <c r="E3" s="33" t="s">
        <v>89</v>
      </c>
      <c r="F3" s="33" t="s">
        <v>113</v>
      </c>
      <c r="G3" s="33" t="s">
        <v>79</v>
      </c>
    </row>
    <row r="4" spans="1:10" ht="51" customHeight="1" x14ac:dyDescent="0.2">
      <c r="A4" s="32">
        <v>1</v>
      </c>
      <c r="B4" s="32">
        <v>1</v>
      </c>
      <c r="C4" s="32">
        <v>1</v>
      </c>
      <c r="D4" s="33" t="s">
        <v>76</v>
      </c>
      <c r="E4" s="33" t="s">
        <v>90</v>
      </c>
      <c r="F4" s="33" t="s">
        <v>80</v>
      </c>
      <c r="G4" s="33" t="s">
        <v>81</v>
      </c>
    </row>
    <row r="5" spans="1:10" ht="25.5" x14ac:dyDescent="0.2">
      <c r="A5" s="32">
        <v>1</v>
      </c>
      <c r="B5" s="32">
        <v>1</v>
      </c>
      <c r="C5" s="32">
        <v>1</v>
      </c>
      <c r="D5" s="32" t="s">
        <v>76</v>
      </c>
      <c r="E5" s="33" t="s">
        <v>82</v>
      </c>
      <c r="F5" s="32" t="s">
        <v>83</v>
      </c>
      <c r="G5" s="33" t="s">
        <v>84</v>
      </c>
    </row>
    <row r="6" spans="1:10" ht="25.5" x14ac:dyDescent="0.2">
      <c r="A6" s="32">
        <v>1</v>
      </c>
      <c r="B6" s="32">
        <v>1</v>
      </c>
      <c r="C6" s="32">
        <v>1</v>
      </c>
      <c r="D6" s="32" t="s">
        <v>76</v>
      </c>
      <c r="E6" s="32" t="s">
        <v>99</v>
      </c>
      <c r="F6" s="32"/>
      <c r="G6" s="33"/>
    </row>
    <row r="7" spans="1:10" x14ac:dyDescent="0.2">
      <c r="A7" s="32">
        <v>1</v>
      </c>
      <c r="B7" s="32">
        <v>1</v>
      </c>
      <c r="C7" s="32">
        <v>2</v>
      </c>
      <c r="D7" s="32" t="s">
        <v>76</v>
      </c>
      <c r="E7" s="32" t="s">
        <v>98</v>
      </c>
      <c r="F7" s="33" t="s">
        <v>114</v>
      </c>
      <c r="G7" s="32" t="s">
        <v>115</v>
      </c>
    </row>
    <row r="8" spans="1:10" x14ac:dyDescent="0.2">
      <c r="A8" s="32">
        <v>1</v>
      </c>
      <c r="B8" s="32">
        <v>1</v>
      </c>
      <c r="C8" s="32">
        <v>2</v>
      </c>
      <c r="D8" s="32" t="s">
        <v>76</v>
      </c>
      <c r="E8" s="32" t="s">
        <v>141</v>
      </c>
      <c r="F8" s="33"/>
      <c r="G8" s="32"/>
    </row>
    <row r="9" spans="1:10" x14ac:dyDescent="0.2">
      <c r="A9" s="32">
        <v>1</v>
      </c>
      <c r="B9" s="32">
        <v>1</v>
      </c>
      <c r="C9" s="32">
        <v>2</v>
      </c>
      <c r="D9" s="32" t="s">
        <v>76</v>
      </c>
      <c r="E9" s="32" t="s">
        <v>100</v>
      </c>
      <c r="F9" s="32" t="s">
        <v>116</v>
      </c>
      <c r="G9" s="32" t="s">
        <v>117</v>
      </c>
    </row>
    <row r="10" spans="1:10" ht="15" x14ac:dyDescent="0.25">
      <c r="A10" s="32">
        <v>1</v>
      </c>
      <c r="B10" s="32">
        <v>1</v>
      </c>
      <c r="C10" s="32">
        <v>2</v>
      </c>
      <c r="D10" s="32" t="s">
        <v>76</v>
      </c>
      <c r="E10" s="95" t="s">
        <v>142</v>
      </c>
      <c r="F10" s="33"/>
      <c r="G10" s="33"/>
    </row>
    <row r="11" spans="1:10" x14ac:dyDescent="0.2">
      <c r="A11" s="32">
        <v>1</v>
      </c>
      <c r="B11" s="32">
        <v>1</v>
      </c>
      <c r="C11" s="32">
        <v>2</v>
      </c>
      <c r="D11" s="32" t="s">
        <v>76</v>
      </c>
      <c r="E11" s="32" t="s">
        <v>143</v>
      </c>
      <c r="F11" s="32" t="s">
        <v>114</v>
      </c>
      <c r="G11" s="32" t="s">
        <v>118</v>
      </c>
    </row>
    <row r="12" spans="1:10" ht="25.5" x14ac:dyDescent="0.2">
      <c r="A12" s="32">
        <v>2</v>
      </c>
      <c r="B12" s="32">
        <v>2</v>
      </c>
      <c r="C12" s="32">
        <v>3</v>
      </c>
      <c r="D12" s="32" t="s">
        <v>76</v>
      </c>
      <c r="E12" s="32" t="s">
        <v>101</v>
      </c>
      <c r="F12" s="32"/>
      <c r="G12" s="32"/>
    </row>
    <row r="13" spans="1:10" x14ac:dyDescent="0.2">
      <c r="A13" s="32">
        <v>2</v>
      </c>
      <c r="B13" s="32">
        <v>2</v>
      </c>
      <c r="C13" s="32">
        <v>3</v>
      </c>
      <c r="D13" s="32" t="s">
        <v>76</v>
      </c>
      <c r="E13" s="32" t="s">
        <v>102</v>
      </c>
      <c r="F13" s="32"/>
      <c r="G13" s="32"/>
    </row>
    <row r="14" spans="1:10" x14ac:dyDescent="0.2">
      <c r="A14" s="32">
        <v>2</v>
      </c>
      <c r="B14" s="32">
        <v>2</v>
      </c>
      <c r="C14" s="32">
        <v>3</v>
      </c>
      <c r="D14" s="32" t="s">
        <v>76</v>
      </c>
      <c r="E14" s="32" t="s">
        <v>144</v>
      </c>
      <c r="F14" s="32" t="s">
        <v>119</v>
      </c>
      <c r="G14" s="32" t="s">
        <v>120</v>
      </c>
    </row>
    <row r="15" spans="1:10" ht="25.5" x14ac:dyDescent="0.2">
      <c r="A15" s="32">
        <v>2</v>
      </c>
      <c r="B15" s="32">
        <v>2</v>
      </c>
      <c r="C15" s="32">
        <v>3</v>
      </c>
      <c r="D15" s="32" t="s">
        <v>76</v>
      </c>
      <c r="E15" s="32" t="s">
        <v>140</v>
      </c>
      <c r="F15" s="32"/>
      <c r="G15" s="32"/>
    </row>
    <row r="16" spans="1:10" x14ac:dyDescent="0.2">
      <c r="A16" s="32">
        <v>2</v>
      </c>
      <c r="B16" s="32">
        <v>2</v>
      </c>
      <c r="C16" s="32">
        <v>3</v>
      </c>
      <c r="D16" s="32" t="s">
        <v>76</v>
      </c>
      <c r="E16" s="32" t="s">
        <v>145</v>
      </c>
      <c r="F16" s="32" t="s">
        <v>121</v>
      </c>
      <c r="G16" s="32" t="s">
        <v>117</v>
      </c>
    </row>
    <row r="17" spans="1:7" ht="25.5" x14ac:dyDescent="0.2">
      <c r="A17" s="32">
        <v>2</v>
      </c>
      <c r="B17" s="32">
        <v>2</v>
      </c>
      <c r="C17" s="32">
        <v>3</v>
      </c>
      <c r="D17" s="32" t="s">
        <v>76</v>
      </c>
      <c r="E17" s="32" t="s">
        <v>103</v>
      </c>
      <c r="F17" s="32"/>
      <c r="G17" s="32"/>
    </row>
    <row r="18" spans="1:7" x14ac:dyDescent="0.2">
      <c r="A18" s="32">
        <v>2</v>
      </c>
      <c r="B18" s="32">
        <v>3</v>
      </c>
      <c r="C18" s="32">
        <v>4</v>
      </c>
      <c r="D18" s="32" t="s">
        <v>76</v>
      </c>
      <c r="E18" s="32" t="s">
        <v>104</v>
      </c>
      <c r="F18" s="32"/>
      <c r="G18" s="32"/>
    </row>
    <row r="19" spans="1:7" x14ac:dyDescent="0.2">
      <c r="A19" s="32">
        <v>2</v>
      </c>
      <c r="B19" s="32">
        <v>3</v>
      </c>
      <c r="C19" s="32">
        <v>4</v>
      </c>
      <c r="D19" s="32" t="s">
        <v>76</v>
      </c>
      <c r="E19" s="32" t="s">
        <v>151</v>
      </c>
      <c r="F19" s="32"/>
      <c r="G19" s="32"/>
    </row>
    <row r="20" spans="1:7" ht="25.5" x14ac:dyDescent="0.2">
      <c r="A20" s="32">
        <v>2</v>
      </c>
      <c r="B20" s="32">
        <v>3</v>
      </c>
      <c r="C20" s="32">
        <v>4</v>
      </c>
      <c r="D20" s="32" t="s">
        <v>76</v>
      </c>
      <c r="E20" s="32" t="s">
        <v>107</v>
      </c>
      <c r="F20" s="32" t="s">
        <v>122</v>
      </c>
      <c r="G20" s="32" t="s">
        <v>123</v>
      </c>
    </row>
    <row r="21" spans="1:7" x14ac:dyDescent="0.2">
      <c r="A21" s="32">
        <v>2</v>
      </c>
      <c r="B21" s="32">
        <v>3</v>
      </c>
      <c r="C21" s="32">
        <v>4</v>
      </c>
      <c r="D21" s="32" t="s">
        <v>76</v>
      </c>
      <c r="E21" s="32" t="s">
        <v>106</v>
      </c>
      <c r="F21" s="32"/>
      <c r="G21" s="32"/>
    </row>
    <row r="22" spans="1:7" ht="25.5" x14ac:dyDescent="0.2">
      <c r="A22" s="32">
        <v>2</v>
      </c>
      <c r="B22" s="32">
        <v>3</v>
      </c>
      <c r="C22" s="32">
        <v>4</v>
      </c>
      <c r="D22" s="32" t="s">
        <v>76</v>
      </c>
      <c r="E22" s="32" t="s">
        <v>108</v>
      </c>
      <c r="F22" s="32"/>
      <c r="G22" s="32"/>
    </row>
    <row r="23" spans="1:7" x14ac:dyDescent="0.2">
      <c r="A23" s="32">
        <v>2</v>
      </c>
      <c r="B23" s="32">
        <v>3</v>
      </c>
      <c r="C23" s="32">
        <v>4</v>
      </c>
      <c r="D23" s="32" t="s">
        <v>76</v>
      </c>
      <c r="E23" s="32" t="s">
        <v>109</v>
      </c>
      <c r="F23" s="32"/>
      <c r="G23" s="32"/>
    </row>
    <row r="24" spans="1:7" ht="25.5" x14ac:dyDescent="0.2">
      <c r="A24" s="32">
        <v>2</v>
      </c>
      <c r="B24" s="32">
        <v>4</v>
      </c>
      <c r="C24" s="32">
        <v>5</v>
      </c>
      <c r="D24" s="32" t="s">
        <v>76</v>
      </c>
      <c r="E24" s="32" t="s">
        <v>110</v>
      </c>
      <c r="F24" s="32"/>
      <c r="G24" s="32"/>
    </row>
    <row r="25" spans="1:7" ht="25.5" x14ac:dyDescent="0.2">
      <c r="A25" s="32">
        <v>2</v>
      </c>
      <c r="B25" s="32">
        <v>4</v>
      </c>
      <c r="C25" s="32">
        <v>5</v>
      </c>
      <c r="D25" s="32" t="s">
        <v>76</v>
      </c>
      <c r="E25" s="32" t="s">
        <v>147</v>
      </c>
      <c r="F25" s="32" t="s">
        <v>124</v>
      </c>
      <c r="G25" s="32" t="s">
        <v>125</v>
      </c>
    </row>
    <row r="26" spans="1:7" ht="25.5" x14ac:dyDescent="0.2">
      <c r="A26" s="32">
        <v>2</v>
      </c>
      <c r="B26" s="32">
        <v>4</v>
      </c>
      <c r="C26" s="32">
        <v>5</v>
      </c>
      <c r="D26" s="32" t="s">
        <v>76</v>
      </c>
      <c r="E26" s="32" t="s">
        <v>146</v>
      </c>
      <c r="F26" s="32"/>
      <c r="G26" s="32"/>
    </row>
    <row r="27" spans="1:7" ht="25.5" x14ac:dyDescent="0.2">
      <c r="A27" s="32">
        <v>2</v>
      </c>
      <c r="B27" s="32">
        <v>4</v>
      </c>
      <c r="C27" s="32">
        <v>5</v>
      </c>
      <c r="D27" s="32" t="s">
        <v>76</v>
      </c>
      <c r="E27" s="32" t="s">
        <v>111</v>
      </c>
      <c r="F27" s="32" t="s">
        <v>126</v>
      </c>
      <c r="G27" s="32" t="s">
        <v>127</v>
      </c>
    </row>
    <row r="28" spans="1:7" x14ac:dyDescent="0.2">
      <c r="A28" s="32">
        <v>2</v>
      </c>
      <c r="B28" s="32">
        <v>4</v>
      </c>
      <c r="C28" s="32">
        <v>6</v>
      </c>
      <c r="D28" s="32" t="s">
        <v>76</v>
      </c>
      <c r="E28" s="32" t="s">
        <v>150</v>
      </c>
      <c r="F28" s="32"/>
      <c r="G28" s="32"/>
    </row>
    <row r="29" spans="1:7" ht="25.5" x14ac:dyDescent="0.2">
      <c r="A29" s="32">
        <v>2</v>
      </c>
      <c r="B29" s="32">
        <v>4</v>
      </c>
      <c r="C29" s="32">
        <v>6</v>
      </c>
      <c r="D29" s="32" t="s">
        <v>76</v>
      </c>
      <c r="E29" s="32" t="s">
        <v>139</v>
      </c>
      <c r="F29" s="32" t="s">
        <v>148</v>
      </c>
      <c r="G29" s="32" t="s">
        <v>149</v>
      </c>
    </row>
    <row r="30" spans="1:7" ht="17.25" customHeight="1" x14ac:dyDescent="0.2">
      <c r="A30" s="32">
        <v>2</v>
      </c>
      <c r="B30" s="32">
        <v>4</v>
      </c>
      <c r="C30" s="32">
        <v>6</v>
      </c>
      <c r="D30" s="32" t="s">
        <v>76</v>
      </c>
      <c r="E30" s="32" t="s">
        <v>112</v>
      </c>
      <c r="F30" s="32"/>
      <c r="G30" s="32" t="s">
        <v>138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2.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3438944-2EA2-449B-89E4-46B2F657EDFB}">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2006/metadata/properties"/>
    <ds:schemaRef ds:uri="http://www.w3.org/XML/1998/namespace"/>
    <ds:schemaRef ds:uri="http://purl.org/dc/elements/1.1/"/>
    <ds:schemaRef ds:uri="http://schemas.microsoft.com/office/infopath/2007/PartnerControls"/>
  </ds:schemaRefs>
</ds:datastoreItem>
</file>

<file path=customXml/itemProps4.xml><?xml version="1.0" encoding="utf-8"?>
<ds:datastoreItem xmlns:ds="http://schemas.openxmlformats.org/officeDocument/2006/customXml" ds:itemID="{88F88A1F-C3E4-402E-A85A-C9402E2A3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Product Backlog (2)</vt:lpstr>
      <vt:lpstr>Sprint II Backlog</vt:lpstr>
      <vt:lpstr>Retrospection</vt:lpstr>
      <vt:lpstr>Reference Data</vt:lpstr>
      <vt:lpstr>Stand up Meeting</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Drishti Setia</cp:lastModifiedBy>
  <dcterms:created xsi:type="dcterms:W3CDTF">1996-10-14T23:33:28Z</dcterms:created>
  <dcterms:modified xsi:type="dcterms:W3CDTF">2021-01-10T11:09:50Z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